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itya\Downloads\"/>
    </mc:Choice>
  </mc:AlternateContent>
  <xr:revisionPtr revIDLastSave="0" documentId="13_ncr:1_{84549FA3-F575-4378-A335-916BFBA4444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MD_Computers_Profit" sheetId="1" r:id="rId1"/>
    <sheet name="Pivot" sheetId="3" r:id="rId2"/>
    <sheet name="Dashboard" sheetId="5" r:id="rId3"/>
  </sheets>
  <definedNames>
    <definedName name="_xlnm._FilterDatabase" localSheetId="0" hidden="1">MD_Computers_Profit!$A$1:$I$41</definedName>
  </definedNames>
  <calcPr calcId="191029"/>
  <pivotCaches>
    <pivotCache cacheId="1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I3" i="1" s="1"/>
  <c r="G4" i="1"/>
  <c r="I4" i="1" s="1"/>
  <c r="G5" i="1"/>
  <c r="I5" i="1" s="1"/>
  <c r="G6" i="1"/>
  <c r="I6" i="1" s="1"/>
  <c r="G7" i="1"/>
  <c r="H7" i="1" s="1"/>
  <c r="G8" i="1"/>
  <c r="H8" i="1" s="1"/>
  <c r="G10" i="1"/>
  <c r="I10" i="1" s="1"/>
  <c r="G11" i="1"/>
  <c r="H11" i="1" s="1"/>
  <c r="G12" i="1"/>
  <c r="H12" i="1" s="1"/>
  <c r="G13" i="1"/>
  <c r="H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H19" i="1" s="1"/>
  <c r="G20" i="1"/>
  <c r="H20" i="1" s="1"/>
  <c r="G21" i="1"/>
  <c r="H21" i="1" s="1"/>
  <c r="G22" i="1"/>
  <c r="I22" i="1" s="1"/>
  <c r="G23" i="1"/>
  <c r="H23" i="1" s="1"/>
  <c r="G24" i="1"/>
  <c r="H24" i="1" s="1"/>
  <c r="G25" i="1"/>
  <c r="H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I38" i="1" s="1"/>
  <c r="G39" i="1"/>
  <c r="I39" i="1" s="1"/>
  <c r="G40" i="1"/>
  <c r="I40" i="1" s="1"/>
  <c r="G41" i="1"/>
  <c r="I41" i="1" s="1"/>
  <c r="G2" i="1"/>
  <c r="I2" i="1" s="1"/>
  <c r="I7" i="1" l="1"/>
  <c r="I19" i="1"/>
  <c r="I24" i="1"/>
  <c r="I12" i="1"/>
  <c r="I31" i="1"/>
  <c r="I36" i="1"/>
  <c r="I32" i="1"/>
  <c r="I20" i="1"/>
  <c r="I21" i="1"/>
  <c r="I33" i="1"/>
  <c r="H22" i="1"/>
  <c r="I8" i="1"/>
  <c r="H10" i="1"/>
  <c r="I34" i="1"/>
  <c r="I11" i="1"/>
  <c r="I23" i="1"/>
  <c r="I35" i="1"/>
  <c r="I13" i="1"/>
  <c r="I25" i="1"/>
  <c r="I37" i="1"/>
  <c r="H2" i="1"/>
  <c r="H30" i="1"/>
  <c r="H18" i="1"/>
  <c r="H6" i="1"/>
  <c r="H41" i="1"/>
  <c r="H29" i="1"/>
  <c r="H17" i="1"/>
  <c r="H5" i="1"/>
  <c r="H40" i="1"/>
  <c r="H28" i="1"/>
  <c r="H16" i="1"/>
  <c r="H4" i="1"/>
  <c r="H39" i="1"/>
  <c r="H27" i="1"/>
  <c r="H15" i="1"/>
  <c r="H3" i="1"/>
  <c r="H38" i="1"/>
  <c r="H26" i="1"/>
  <c r="H14" i="1"/>
  <c r="G9" i="1"/>
  <c r="I9" i="1" s="1"/>
  <c r="H9" i="1" l="1"/>
</calcChain>
</file>

<file path=xl/sharedStrings.xml><?xml version="1.0" encoding="utf-8"?>
<sst xmlns="http://schemas.openxmlformats.org/spreadsheetml/2006/main" count="144" uniqueCount="40">
  <si>
    <t>Part</t>
  </si>
  <si>
    <t>Region</t>
  </si>
  <si>
    <t>Cost_Per_Part</t>
  </si>
  <si>
    <t>Sell_Price_Per_Part</t>
  </si>
  <si>
    <t>Profit_Per_Part</t>
  </si>
  <si>
    <t>Total_Profit</t>
  </si>
  <si>
    <t>Power Supply</t>
  </si>
  <si>
    <t>Lamington Road</t>
  </si>
  <si>
    <t>CPU</t>
  </si>
  <si>
    <t>Nehru Place</t>
  </si>
  <si>
    <t>Cooling Fan</t>
  </si>
  <si>
    <t>SSD</t>
  </si>
  <si>
    <t xml:space="preserve">GB Road </t>
  </si>
  <si>
    <t>GPU</t>
  </si>
  <si>
    <t>RAM</t>
  </si>
  <si>
    <t>Charni Road</t>
  </si>
  <si>
    <t>HDD</t>
  </si>
  <si>
    <t>Eden Garden</t>
  </si>
  <si>
    <t>Motherboard</t>
  </si>
  <si>
    <t>GB Road</t>
  </si>
  <si>
    <t>Order_Date</t>
  </si>
  <si>
    <t>Margin</t>
  </si>
  <si>
    <t>Quentity</t>
  </si>
  <si>
    <t>Row Labels</t>
  </si>
  <si>
    <t>Grand Total</t>
  </si>
  <si>
    <t>Sum of Quentity</t>
  </si>
  <si>
    <t>Sum of Profit_Per_Part</t>
  </si>
  <si>
    <t>Sum of Total_Profit</t>
  </si>
  <si>
    <t>Jun</t>
  </si>
  <si>
    <t>Aug</t>
  </si>
  <si>
    <t>Sep</t>
  </si>
  <si>
    <t>Apr</t>
  </si>
  <si>
    <t>May</t>
  </si>
  <si>
    <t>Jul</t>
  </si>
  <si>
    <t>Nov</t>
  </si>
  <si>
    <t>Mar</t>
  </si>
  <si>
    <t>Oct</t>
  </si>
  <si>
    <t>Column Labels</t>
  </si>
  <si>
    <t>(All)</t>
  </si>
  <si>
    <t>Months (Order_Date)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</si>
</sst>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[$₹-4009]\ * #,##0.00_ ;_ [$₹-4009]\ * \-#,##0.00_ ;_ [$₹-4009]\ * &quot;-&quot;??_ ;_ @_ "/>
    <numFmt numFmtId="165" formatCode="\₹#,##0"/>
    <numFmt numFmtId="166" formatCode="0.0%"/>
    <numFmt numFmtId="167" formatCode="dd/mmm/yy"/>
    <numFmt numFmtId="168" formatCode="[$₹-4009]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  <font>
      <i/>
      <sz val="11"/>
      <color rgb="FF666666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 vertical="center"/>
    </xf>
    <xf numFmtId="0" fontId="19" fillId="0" borderId="0" xfId="0" applyFont="1"/>
    <xf numFmtId="0" fontId="18" fillId="0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8" fontId="0" fillId="0" borderId="10" xfId="0" applyNumberFormat="1" applyBorder="1"/>
    <xf numFmtId="164" fontId="0" fillId="0" borderId="10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</cellXfs>
  <cellStyles count="42">
    <cellStyle name="20% - Accent1" xfId="19" xr:uid="{00000000-0005-0000-0000-000013000000}"/>
    <cellStyle name="20% - Accent2" xfId="23" xr:uid="{00000000-0005-0000-0000-000017000000}"/>
    <cellStyle name="20% - Accent3" xfId="27" xr:uid="{00000000-0005-0000-0000-00001B000000}"/>
    <cellStyle name="20% - Accent4" xfId="31" xr:uid="{00000000-0005-0000-0000-00001F000000}"/>
    <cellStyle name="20% - Accent5" xfId="35" xr:uid="{00000000-0005-0000-0000-000023000000}"/>
    <cellStyle name="20% - Accent6" xfId="39" xr:uid="{00000000-0005-0000-0000-000027000000}"/>
    <cellStyle name="40% - Accent1" xfId="20" xr:uid="{00000000-0005-0000-0000-000014000000}"/>
    <cellStyle name="40% - Accent2" xfId="24" xr:uid="{00000000-0005-0000-0000-000018000000}"/>
    <cellStyle name="40% - Accent3" xfId="28" xr:uid="{00000000-0005-0000-0000-00001C000000}"/>
    <cellStyle name="40% - Accent4" xfId="32" xr:uid="{00000000-0005-0000-0000-000020000000}"/>
    <cellStyle name="40% - Accent5" xfId="36" xr:uid="{00000000-0005-0000-0000-000024000000}"/>
    <cellStyle name="40% - Accent6" xfId="40" xr:uid="{00000000-0005-0000-0000-000028000000}"/>
    <cellStyle name="60% - Accent1" xfId="21" xr:uid="{00000000-0005-0000-0000-000015000000}"/>
    <cellStyle name="60% - Accent2" xfId="25" xr:uid="{00000000-0005-0000-0000-000019000000}"/>
    <cellStyle name="60% - Accent3" xfId="29" xr:uid="{00000000-0005-0000-0000-00001D000000}"/>
    <cellStyle name="60% - Accent4" xfId="33" xr:uid="{00000000-0005-0000-0000-000021000000}"/>
    <cellStyle name="60% - Accent5" xfId="37" xr:uid="{00000000-0005-0000-0000-000025000000}"/>
    <cellStyle name="60% - Accent6" xfId="41" xr:uid="{00000000-0005-0000-0000-000029000000}"/>
    <cellStyle name="Accent1" xfId="18" xr:uid="{00000000-0005-0000-0000-000012000000}"/>
    <cellStyle name="Accent2" xfId="22" xr:uid="{00000000-0005-0000-0000-000016000000}"/>
    <cellStyle name="Accent3" xfId="26" xr:uid="{00000000-0005-0000-0000-00001A000000}"/>
    <cellStyle name="Accent4" xfId="30" xr:uid="{00000000-0005-0000-0000-00001E000000}"/>
    <cellStyle name="Accent5" xfId="34" xr:uid="{00000000-0005-0000-0000-000022000000}"/>
    <cellStyle name="Accent6" xfId="38" xr:uid="{00000000-0005-0000-0000-000026000000}"/>
    <cellStyle name="Bad" xfId="7" xr:uid="{00000000-0005-0000-0000-000007000000}"/>
    <cellStyle name="Calculation" xfId="11" xr:uid="{00000000-0005-0000-0000-00000B000000}"/>
    <cellStyle name="Check Cell" xfId="13" xr:uid="{00000000-0005-0000-0000-00000D000000}"/>
    <cellStyle name="Explanatory Text" xfId="16" xr:uid="{00000000-0005-0000-0000-000010000000}"/>
    <cellStyle name="Good" xfId="6" xr:uid="{00000000-0005-0000-0000-000006000000}"/>
    <cellStyle name="Heading 1" xfId="2" xr:uid="{00000000-0005-0000-0000-000002000000}"/>
    <cellStyle name="Heading 2" xfId="3" xr:uid="{00000000-0005-0000-0000-000003000000}"/>
    <cellStyle name="Heading 3" xfId="4" xr:uid="{00000000-0005-0000-0000-000004000000}"/>
    <cellStyle name="Heading 4" xfId="5" xr:uid="{00000000-0005-0000-0000-000005000000}"/>
    <cellStyle name="Input" xfId="9" xr:uid="{00000000-0005-0000-0000-000009000000}"/>
    <cellStyle name="Linked Cell" xfId="12" xr:uid="{00000000-0005-0000-0000-00000C000000}"/>
    <cellStyle name="Neutral" xfId="8" xr:uid="{00000000-0005-0000-0000-000008000000}"/>
    <cellStyle name="Normal" xfId="0" builtinId="0"/>
    <cellStyle name="Note" xfId="15" xr:uid="{00000000-0005-0000-0000-00000F000000}"/>
    <cellStyle name="Output" xfId="10" xr:uid="{00000000-0005-0000-0000-00000A000000}"/>
    <cellStyle name="Title" xfId="1" xr:uid="{00000000-0005-0000-0000-000001000000}"/>
    <cellStyle name="Total" xfId="17" xr:uid="{00000000-0005-0000-0000-000011000000}"/>
    <cellStyle name="Warning Text" xfId="14" xr:uid="{00000000-0005-0000-0000-00000E000000}"/>
  </cellStyles>
  <dxfs count="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[$₹-4009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[$₹-4009]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dd/mmm/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[MD_Computers_Profit_filled.xlsx]Pivot!PivotTable2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Highst  Selling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Pivot!$A$2:$A$10</c:f>
              <c:strCache>
                <c:ptCount val="8"/>
                <c:pt idx="0">
                  <c:v>Cooling Fan</c:v>
                </c:pt>
                <c:pt idx="1">
                  <c:v>CPU</c:v>
                </c:pt>
                <c:pt idx="2">
                  <c:v>GPU</c:v>
                </c:pt>
                <c:pt idx="3">
                  <c:v>HDD</c:v>
                </c:pt>
                <c:pt idx="4">
                  <c:v>Motherboard</c:v>
                </c:pt>
                <c:pt idx="5">
                  <c:v>Power Supply</c:v>
                </c:pt>
                <c:pt idx="6">
                  <c:v>RAM</c:v>
                </c:pt>
                <c:pt idx="7">
                  <c:v>SSD</c:v>
                </c:pt>
              </c:strCache>
            </c:strRef>
          </c:cat>
          <c:val>
            <c:numRef>
              <c:f>Pivot!$B$2:$B$10</c:f>
              <c:numCache>
                <c:formatCode>General</c:formatCode>
                <c:ptCount val="8"/>
                <c:pt idx="0">
                  <c:v>66</c:v>
                </c:pt>
                <c:pt idx="1">
                  <c:v>48</c:v>
                </c:pt>
                <c:pt idx="2">
                  <c:v>90</c:v>
                </c:pt>
                <c:pt idx="3">
                  <c:v>75</c:v>
                </c:pt>
                <c:pt idx="4">
                  <c:v>102</c:v>
                </c:pt>
                <c:pt idx="5">
                  <c:v>181</c:v>
                </c:pt>
                <c:pt idx="6">
                  <c:v>45</c:v>
                </c:pt>
                <c:pt idx="7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7-4968-A652-DD4E0EB16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5886528"/>
        <c:axId val="655887488"/>
        <c:axId val="0"/>
      </c:bar3DChart>
      <c:catAx>
        <c:axId val="65588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887488"/>
        <c:crosses val="autoZero"/>
        <c:auto val="1"/>
        <c:lblAlgn val="ctr"/>
        <c:lblOffset val="100"/>
        <c:noMultiLvlLbl val="0"/>
      </c:catAx>
      <c:valAx>
        <c:axId val="65588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88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[MD_Computers_Profit_filled.xlsx]Pivot!PivotTable3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Month</a:t>
            </a:r>
            <a:r>
              <a:rPr lang="en-US" sz="1400" baseline="0"/>
              <a:t> Profit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>
              <a:shade val="4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>
              <a:shade val="5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>
              <a:shade val="72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>
              <a:shade val="8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>
              <a:tint val="8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>
              <a:tint val="72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>
              <a:tint val="5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>
              <a:tint val="4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Pivot!$H$1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4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CF46-46B0-932A-87377A22FC2F}"/>
              </c:ext>
            </c:extLst>
          </c:dPt>
          <c:dPt>
            <c:idx val="1"/>
            <c:bubble3D val="0"/>
            <c:spPr>
              <a:solidFill>
                <a:schemeClr val="accent2">
                  <a:shade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F46-46B0-932A-87377A22FC2F}"/>
              </c:ext>
            </c:extLst>
          </c:dPt>
          <c:dPt>
            <c:idx val="2"/>
            <c:bubble3D val="0"/>
            <c:spPr>
              <a:solidFill>
                <a:schemeClr val="accent2">
                  <a:shade val="7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CF46-46B0-932A-87377A22FC2F}"/>
              </c:ext>
            </c:extLst>
          </c:dPt>
          <c:dPt>
            <c:idx val="3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F46-46B0-932A-87377A22FC2F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CF46-46B0-932A-87377A22FC2F}"/>
              </c:ext>
            </c:extLst>
          </c:dPt>
          <c:dPt>
            <c:idx val="5"/>
            <c:bubble3D val="0"/>
            <c:spPr>
              <a:solidFill>
                <a:schemeClr val="accent2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F46-46B0-932A-87377A22FC2F}"/>
              </c:ext>
            </c:extLst>
          </c:dPt>
          <c:dPt>
            <c:idx val="6"/>
            <c:bubble3D val="0"/>
            <c:spPr>
              <a:solidFill>
                <a:schemeClr val="accent2">
                  <a:tint val="7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CF46-46B0-932A-87377A22FC2F}"/>
              </c:ext>
            </c:extLst>
          </c:dPt>
          <c:dPt>
            <c:idx val="7"/>
            <c:bubble3D val="0"/>
            <c:spPr>
              <a:solidFill>
                <a:schemeClr val="accent2">
                  <a:tint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F46-46B0-932A-87377A22FC2F}"/>
              </c:ext>
            </c:extLst>
          </c:dPt>
          <c:dPt>
            <c:idx val="8"/>
            <c:bubble3D val="0"/>
            <c:spPr>
              <a:solidFill>
                <a:schemeClr val="accent2">
                  <a:tint val="4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CF46-46B0-932A-87377A22FC2F}"/>
              </c:ext>
            </c:extLst>
          </c:dPt>
          <c:dPt>
            <c:idx val="9"/>
            <c:bubble3D val="0"/>
            <c:spPr>
              <a:solidFill>
                <a:schemeClr val="accent2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CF46-46B0-932A-87377A22FC2F}"/>
              </c:ext>
            </c:extLst>
          </c:dPt>
          <c:dLbls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CF46-46B0-932A-87377A22FC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Pivot!$G$2:$G$11</c:f>
              <c:strCache>
                <c:ptCount val="9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</c:strCache>
            </c:strRef>
          </c:cat>
          <c:val>
            <c:numRef>
              <c:f>Pivot!$H$2:$H$11</c:f>
              <c:numCache>
                <c:formatCode>General</c:formatCode>
                <c:ptCount val="9"/>
                <c:pt idx="0">
                  <c:v>116770</c:v>
                </c:pt>
                <c:pt idx="1">
                  <c:v>114094.00000000001</c:v>
                </c:pt>
                <c:pt idx="2">
                  <c:v>276064</c:v>
                </c:pt>
                <c:pt idx="3">
                  <c:v>219053.99999999988</c:v>
                </c:pt>
                <c:pt idx="4">
                  <c:v>426840</c:v>
                </c:pt>
                <c:pt idx="5">
                  <c:v>139018</c:v>
                </c:pt>
                <c:pt idx="6">
                  <c:v>120400</c:v>
                </c:pt>
                <c:pt idx="7">
                  <c:v>46080</c:v>
                </c:pt>
                <c:pt idx="8">
                  <c:v>62965.000000000051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F46-46B0-932A-87377A22FC2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[MD_Computers_Profit_filled.xlsx]Pivot!PivotTable4</c:name>
    <c:fmtId val="1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accent2">
                <a:shade val="45000"/>
              </a:schemeClr>
            </a:solidFill>
            <a:ln w="9525">
              <a:solidFill>
                <a:schemeClr val="accent2">
                  <a:shade val="4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  <a:sp3d/>
        </c:spPr>
        <c:marker>
          <c:symbol val="square"/>
          <c:size val="6"/>
          <c:spPr>
            <a:solidFill>
              <a:schemeClr val="accent2">
                <a:shade val="61000"/>
              </a:schemeClr>
            </a:solidFill>
            <a:ln w="9525">
              <a:solidFill>
                <a:schemeClr val="accent2">
                  <a:shade val="61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  <a:sp3d/>
        </c:spPr>
        <c:marker>
          <c:symbol val="triangle"/>
          <c:size val="6"/>
          <c:spPr>
            <a:solidFill>
              <a:schemeClr val="accent2">
                <a:shade val="76000"/>
              </a:schemeClr>
            </a:solidFill>
            <a:ln w="9525">
              <a:solidFill>
                <a:schemeClr val="accent2">
                  <a:shade val="76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  <a:sp3d/>
        </c:spPr>
        <c:marker>
          <c:symbol val="x"/>
          <c:size val="6"/>
          <c:spPr>
            <a:noFill/>
            <a:ln w="9525">
              <a:solidFill>
                <a:schemeClr val="accent2">
                  <a:shade val="92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  <a:sp3d/>
        </c:spPr>
        <c:marker>
          <c:symbol val="star"/>
          <c:size val="6"/>
          <c:spPr>
            <a:noFill/>
            <a:ln w="9525">
              <a:solidFill>
                <a:schemeClr val="accent2">
                  <a:tint val="93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6"/>
          <c:spPr>
            <a:solidFill>
              <a:schemeClr val="accent2">
                <a:tint val="77000"/>
              </a:schemeClr>
            </a:solidFill>
            <a:ln w="9525">
              <a:solidFill>
                <a:schemeClr val="accent2">
                  <a:tint val="77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  <a:sp3d/>
        </c:spPr>
        <c:marker>
          <c:symbol val="plus"/>
          <c:size val="6"/>
          <c:spPr>
            <a:noFill/>
            <a:ln w="9525">
              <a:solidFill>
                <a:schemeClr val="accent2">
                  <a:tint val="62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  <a:sp3d/>
        </c:spPr>
        <c:marker>
          <c:symbol val="dot"/>
          <c:size val="6"/>
          <c:spPr>
            <a:solidFill>
              <a:schemeClr val="accent2">
                <a:tint val="46000"/>
              </a:schemeClr>
            </a:solidFill>
            <a:ln w="9525">
              <a:solidFill>
                <a:schemeClr val="accent2">
                  <a:tint val="46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Pivot!$M$1:$M$2</c:f>
              <c:strCache>
                <c:ptCount val="1"/>
                <c:pt idx="0">
                  <c:v>Cooling Fan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Pivot!$L$3:$L$9</c:f>
              <c:strCache>
                <c:ptCount val="6"/>
                <c:pt idx="0">
                  <c:v>Lamington Road</c:v>
                </c:pt>
                <c:pt idx="1">
                  <c:v>Nehru Place</c:v>
                </c:pt>
                <c:pt idx="2">
                  <c:v>GB Road</c:v>
                </c:pt>
                <c:pt idx="3">
                  <c:v>Charni Road</c:v>
                </c:pt>
                <c:pt idx="4">
                  <c:v>Eden Garden</c:v>
                </c:pt>
                <c:pt idx="5">
                  <c:v>GB Road </c:v>
                </c:pt>
              </c:strCache>
            </c:strRef>
          </c:cat>
          <c:val>
            <c:numRef>
              <c:f>Pivot!$M$3:$M$9</c:f>
              <c:numCache>
                <c:formatCode>General</c:formatCode>
                <c:ptCount val="6"/>
                <c:pt idx="0">
                  <c:v>26</c:v>
                </c:pt>
                <c:pt idx="2">
                  <c:v>15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C-4555-A545-698FC3BEFF12}"/>
            </c:ext>
          </c:extLst>
        </c:ser>
        <c:ser>
          <c:idx val="1"/>
          <c:order val="1"/>
          <c:tx>
            <c:strRef>
              <c:f>Pivot!$N$1:$N$2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Pivot!$L$3:$L$9</c:f>
              <c:strCache>
                <c:ptCount val="6"/>
                <c:pt idx="0">
                  <c:v>Lamington Road</c:v>
                </c:pt>
                <c:pt idx="1">
                  <c:v>Nehru Place</c:v>
                </c:pt>
                <c:pt idx="2">
                  <c:v>GB Road</c:v>
                </c:pt>
                <c:pt idx="3">
                  <c:v>Charni Road</c:v>
                </c:pt>
                <c:pt idx="4">
                  <c:v>Eden Garden</c:v>
                </c:pt>
                <c:pt idx="5">
                  <c:v>GB Road </c:v>
                </c:pt>
              </c:strCache>
            </c:strRef>
          </c:cat>
          <c:val>
            <c:numRef>
              <c:f>Pivot!$N$3:$N$9</c:f>
              <c:numCache>
                <c:formatCode>General</c:formatCode>
                <c:ptCount val="6"/>
                <c:pt idx="1">
                  <c:v>9</c:v>
                </c:pt>
                <c:pt idx="2">
                  <c:v>11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C-4555-A545-698FC3BEFF12}"/>
            </c:ext>
          </c:extLst>
        </c:ser>
        <c:ser>
          <c:idx val="2"/>
          <c:order val="2"/>
          <c:tx>
            <c:strRef>
              <c:f>Pivot!$O$1:$O$2</c:f>
              <c:strCache>
                <c:ptCount val="1"/>
                <c:pt idx="0">
                  <c:v>GPU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Pivot!$L$3:$L$9</c:f>
              <c:strCache>
                <c:ptCount val="6"/>
                <c:pt idx="0">
                  <c:v>Lamington Road</c:v>
                </c:pt>
                <c:pt idx="1">
                  <c:v>Nehru Place</c:v>
                </c:pt>
                <c:pt idx="2">
                  <c:v>GB Road</c:v>
                </c:pt>
                <c:pt idx="3">
                  <c:v>Charni Road</c:v>
                </c:pt>
                <c:pt idx="4">
                  <c:v>Eden Garden</c:v>
                </c:pt>
                <c:pt idx="5">
                  <c:v>GB Road </c:v>
                </c:pt>
              </c:strCache>
            </c:strRef>
          </c:cat>
          <c:val>
            <c:numRef>
              <c:f>Pivot!$O$3:$O$9</c:f>
              <c:numCache>
                <c:formatCode>General</c:formatCode>
                <c:ptCount val="6"/>
                <c:pt idx="0">
                  <c:v>14</c:v>
                </c:pt>
                <c:pt idx="1">
                  <c:v>17</c:v>
                </c:pt>
                <c:pt idx="3">
                  <c:v>21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BC-4555-A545-698FC3BEFF12}"/>
            </c:ext>
          </c:extLst>
        </c:ser>
        <c:ser>
          <c:idx val="3"/>
          <c:order val="3"/>
          <c:tx>
            <c:strRef>
              <c:f>Pivot!$P$1:$P$2</c:f>
              <c:strCache>
                <c:ptCount val="1"/>
                <c:pt idx="0">
                  <c:v>HDD</c:v>
                </c:pt>
              </c:strCache>
            </c:strRef>
          </c:tx>
          <c:spPr>
            <a:solidFill>
              <a:schemeClr val="accent2">
                <a:shade val="92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Pivot!$L$3:$L$9</c:f>
              <c:strCache>
                <c:ptCount val="6"/>
                <c:pt idx="0">
                  <c:v>Lamington Road</c:v>
                </c:pt>
                <c:pt idx="1">
                  <c:v>Nehru Place</c:v>
                </c:pt>
                <c:pt idx="2">
                  <c:v>GB Road</c:v>
                </c:pt>
                <c:pt idx="3">
                  <c:v>Charni Road</c:v>
                </c:pt>
                <c:pt idx="4">
                  <c:v>Eden Garden</c:v>
                </c:pt>
                <c:pt idx="5">
                  <c:v>GB Road </c:v>
                </c:pt>
              </c:strCache>
            </c:strRef>
          </c:cat>
          <c:val>
            <c:numRef>
              <c:f>Pivot!$P$3:$P$9</c:f>
              <c:numCache>
                <c:formatCode>General</c:formatCode>
                <c:ptCount val="6"/>
                <c:pt idx="0">
                  <c:v>18</c:v>
                </c:pt>
                <c:pt idx="1">
                  <c:v>27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BC-4555-A545-698FC3BEFF12}"/>
            </c:ext>
          </c:extLst>
        </c:ser>
        <c:ser>
          <c:idx val="4"/>
          <c:order val="4"/>
          <c:tx>
            <c:strRef>
              <c:f>Pivot!$Q$1:$Q$2</c:f>
              <c:strCache>
                <c:ptCount val="1"/>
                <c:pt idx="0">
                  <c:v>Motherboard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Pivot!$L$3:$L$9</c:f>
              <c:strCache>
                <c:ptCount val="6"/>
                <c:pt idx="0">
                  <c:v>Lamington Road</c:v>
                </c:pt>
                <c:pt idx="1">
                  <c:v>Nehru Place</c:v>
                </c:pt>
                <c:pt idx="2">
                  <c:v>GB Road</c:v>
                </c:pt>
                <c:pt idx="3">
                  <c:v>Charni Road</c:v>
                </c:pt>
                <c:pt idx="4">
                  <c:v>Eden Garden</c:v>
                </c:pt>
                <c:pt idx="5">
                  <c:v>GB Road </c:v>
                </c:pt>
              </c:strCache>
            </c:strRef>
          </c:cat>
          <c:val>
            <c:numRef>
              <c:f>Pivot!$Q$3:$Q$9</c:f>
              <c:numCache>
                <c:formatCode>General</c:formatCode>
                <c:ptCount val="6"/>
                <c:pt idx="1">
                  <c:v>15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BC-4555-A545-698FC3BEFF12}"/>
            </c:ext>
          </c:extLst>
        </c:ser>
        <c:ser>
          <c:idx val="5"/>
          <c:order val="5"/>
          <c:tx>
            <c:strRef>
              <c:f>Pivot!$R$1:$R$2</c:f>
              <c:strCache>
                <c:ptCount val="1"/>
                <c:pt idx="0">
                  <c:v>Power Supply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Pivot!$L$3:$L$9</c:f>
              <c:strCache>
                <c:ptCount val="6"/>
                <c:pt idx="0">
                  <c:v>Lamington Road</c:v>
                </c:pt>
                <c:pt idx="1">
                  <c:v>Nehru Place</c:v>
                </c:pt>
                <c:pt idx="2">
                  <c:v>GB Road</c:v>
                </c:pt>
                <c:pt idx="3">
                  <c:v>Charni Road</c:v>
                </c:pt>
                <c:pt idx="4">
                  <c:v>Eden Garden</c:v>
                </c:pt>
                <c:pt idx="5">
                  <c:v>GB Road </c:v>
                </c:pt>
              </c:strCache>
            </c:strRef>
          </c:cat>
          <c:val>
            <c:numRef>
              <c:f>Pivot!$R$3:$R$9</c:f>
              <c:numCache>
                <c:formatCode>General</c:formatCode>
                <c:ptCount val="6"/>
                <c:pt idx="0">
                  <c:v>50</c:v>
                </c:pt>
                <c:pt idx="1">
                  <c:v>77</c:v>
                </c:pt>
                <c:pt idx="2">
                  <c:v>38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BC-4555-A545-698FC3BEFF12}"/>
            </c:ext>
          </c:extLst>
        </c:ser>
        <c:ser>
          <c:idx val="6"/>
          <c:order val="6"/>
          <c:tx>
            <c:strRef>
              <c:f>Pivot!$S$1:$S$2</c:f>
              <c:strCache>
                <c:ptCount val="1"/>
                <c:pt idx="0">
                  <c:v>RAM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Pivot!$L$3:$L$9</c:f>
              <c:strCache>
                <c:ptCount val="6"/>
                <c:pt idx="0">
                  <c:v>Lamington Road</c:v>
                </c:pt>
                <c:pt idx="1">
                  <c:v>Nehru Place</c:v>
                </c:pt>
                <c:pt idx="2">
                  <c:v>GB Road</c:v>
                </c:pt>
                <c:pt idx="3">
                  <c:v>Charni Road</c:v>
                </c:pt>
                <c:pt idx="4">
                  <c:v>Eden Garden</c:v>
                </c:pt>
                <c:pt idx="5">
                  <c:v>GB Road </c:v>
                </c:pt>
              </c:strCache>
            </c:strRef>
          </c:cat>
          <c:val>
            <c:numRef>
              <c:f>Pivot!$S$3:$S$9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18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BC-4555-A545-698FC3BEFF12}"/>
            </c:ext>
          </c:extLst>
        </c:ser>
        <c:ser>
          <c:idx val="7"/>
          <c:order val="7"/>
          <c:tx>
            <c:strRef>
              <c:f>Pivot!$T$1:$T$2</c:f>
              <c:strCache>
                <c:ptCount val="1"/>
                <c:pt idx="0">
                  <c:v>SSD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Pivot!$L$3:$L$9</c:f>
              <c:strCache>
                <c:ptCount val="6"/>
                <c:pt idx="0">
                  <c:v>Lamington Road</c:v>
                </c:pt>
                <c:pt idx="1">
                  <c:v>Nehru Place</c:v>
                </c:pt>
                <c:pt idx="2">
                  <c:v>GB Road</c:v>
                </c:pt>
                <c:pt idx="3">
                  <c:v>Charni Road</c:v>
                </c:pt>
                <c:pt idx="4">
                  <c:v>Eden Garden</c:v>
                </c:pt>
                <c:pt idx="5">
                  <c:v>GB Road </c:v>
                </c:pt>
              </c:strCache>
            </c:strRef>
          </c:cat>
          <c:val>
            <c:numRef>
              <c:f>Pivot!$T$3:$T$9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14</c:v>
                </c:pt>
                <c:pt idx="4">
                  <c:v>7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BC-4555-A545-698FC3BEFF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313817584"/>
        <c:axId val="1313818544"/>
        <c:axId val="0"/>
      </c:bar3DChart>
      <c:catAx>
        <c:axId val="131381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818544"/>
        <c:crosses val="autoZero"/>
        <c:auto val="1"/>
        <c:lblAlgn val="ctr"/>
        <c:lblOffset val="100"/>
        <c:noMultiLvlLbl val="0"/>
      </c:catAx>
      <c:valAx>
        <c:axId val="131381854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Regin Wise Sale </a:t>
                </a:r>
              </a:p>
            </c:rich>
          </c:tx>
          <c:layout>
            <c:manualLayout>
              <c:xMode val="edge"/>
              <c:yMode val="edge"/>
              <c:x val="0.41843058259019511"/>
              <c:y val="4.59552966721699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31381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[MD_Computers_Profit_filled.xlsx]Pivot!PivotTable6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Price Difference in parts (Month)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Pivot!$B$16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Pivot!$A$17:$A$25</c:f>
              <c:strCache>
                <c:ptCount val="8"/>
                <c:pt idx="0">
                  <c:v>Cooling Fan</c:v>
                </c:pt>
                <c:pt idx="1">
                  <c:v>CPU</c:v>
                </c:pt>
                <c:pt idx="2">
                  <c:v>GPU</c:v>
                </c:pt>
                <c:pt idx="3">
                  <c:v>HDD</c:v>
                </c:pt>
                <c:pt idx="4">
                  <c:v>Motherboard</c:v>
                </c:pt>
                <c:pt idx="5">
                  <c:v>Power Supply</c:v>
                </c:pt>
                <c:pt idx="6">
                  <c:v>RAM</c:v>
                </c:pt>
                <c:pt idx="7">
                  <c:v>SSD</c:v>
                </c:pt>
              </c:strCache>
            </c:strRef>
          </c:cat>
          <c:val>
            <c:numRef>
              <c:f>Pivot!$B$17:$B$25</c:f>
              <c:numCache>
                <c:formatCode>General</c:formatCode>
                <c:ptCount val="8"/>
                <c:pt idx="0">
                  <c:v>640</c:v>
                </c:pt>
                <c:pt idx="1">
                  <c:v>14668</c:v>
                </c:pt>
                <c:pt idx="2">
                  <c:v>45171</c:v>
                </c:pt>
                <c:pt idx="3">
                  <c:v>1890</c:v>
                </c:pt>
                <c:pt idx="4">
                  <c:v>11520</c:v>
                </c:pt>
                <c:pt idx="5">
                  <c:v>4760</c:v>
                </c:pt>
                <c:pt idx="6">
                  <c:v>13032</c:v>
                </c:pt>
                <c:pt idx="7">
                  <c:v>10219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0-4873-8BBB-B056F023DC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54772032"/>
        <c:axId val="1454760992"/>
      </c:radarChart>
      <c:catAx>
        <c:axId val="145477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760992"/>
        <c:crosses val="autoZero"/>
        <c:auto val="1"/>
        <c:lblAlgn val="ctr"/>
        <c:lblOffset val="100"/>
        <c:noMultiLvlLbl val="0"/>
      </c:catAx>
      <c:valAx>
        <c:axId val="14547609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145477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20618</xdr:rowOff>
    </xdr:from>
    <xdr:to>
      <xdr:col>10</xdr:col>
      <xdr:colOff>304800</xdr:colOff>
      <xdr:row>18</xdr:row>
      <xdr:rowOff>137160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176528C-B312-9AD4-55D5-181F5FB03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530262</xdr:colOff>
      <xdr:row>0</xdr:row>
      <xdr:rowOff>0</xdr:rowOff>
    </xdr:from>
    <xdr:to>
      <xdr:col>19</xdr:col>
      <xdr:colOff>228600</xdr:colOff>
      <xdr:row>18</xdr:row>
      <xdr:rowOff>121920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6D8D6C77-ADFA-652E-E36A-B8A0322D3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190136</xdr:colOff>
      <xdr:row>20</xdr:row>
      <xdr:rowOff>9547</xdr:rowOff>
    </xdr:from>
    <xdr:to>
      <xdr:col>10</xdr:col>
      <xdr:colOff>585439</xdr:colOff>
      <xdr:row>41</xdr:row>
      <xdr:rowOff>111512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9B6CFB42-B696-9447-AC6A-6342AC3A9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109652</xdr:colOff>
      <xdr:row>19</xdr:row>
      <xdr:rowOff>176147</xdr:rowOff>
    </xdr:from>
    <xdr:to>
      <xdr:col>19</xdr:col>
      <xdr:colOff>371707</xdr:colOff>
      <xdr:row>41</xdr:row>
      <xdr:rowOff>74341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9DD509BF-0132-E5ED-6497-04E53E50C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6011.587849537034" createdVersion="8" refreshedVersion="8" minRefreshableVersion="3" recordCount="40" xr:uid="{88A010F1-9A52-4920-BBC3-61B93A1E7801}">
  <cacheSource type="worksheet">
    <worksheetSource name="Table1"/>
  </cacheSource>
  <cacheFields count="11">
    <cacheField name="Order_Date" numFmtId="167">
      <sharedItems containsSemiMixedTypes="0" containsNonDate="0" containsDate="1" containsString="0" minDate="2025-03-02T00:00:00" maxDate="2025-11-28T00:00:00" count="37">
        <d v="2025-03-02T00:00:00"/>
        <d v="2025-03-10T00:00:00"/>
        <d v="2025-03-11T00:00:00"/>
        <d v="2025-03-17T00:00:00"/>
        <d v="2025-03-21T00:00:00"/>
        <d v="2025-04-08T00:00:00"/>
        <d v="2025-04-13T00:00:00"/>
        <d v="2025-04-24T00:00:00"/>
        <d v="2025-05-07T00:00:00"/>
        <d v="2025-05-16T00:00:00"/>
        <d v="2025-05-19T00:00:00"/>
        <d v="2025-05-24T00:00:00"/>
        <d v="2025-05-28T00:00:00"/>
        <d v="2025-06-15T00:00:00"/>
        <d v="2025-06-16T00:00:00"/>
        <d v="2025-06-20T00:00:00"/>
        <d v="2025-06-22T00:00:00"/>
        <d v="2025-07-04T00:00:00"/>
        <d v="2025-07-14T00:00:00"/>
        <d v="2025-07-17T00:00:00"/>
        <d v="2025-07-19T00:00:00"/>
        <d v="2025-07-23T00:00:00"/>
        <d v="2025-07-28T00:00:00"/>
        <d v="2025-08-15T00:00:00"/>
        <d v="2025-08-22T00:00:00"/>
        <d v="2025-08-25T00:00:00"/>
        <d v="2025-08-26T00:00:00"/>
        <d v="2025-08-29T00:00:00"/>
        <d v="2025-09-10T00:00:00"/>
        <d v="2025-09-19T00:00:00"/>
        <d v="2025-09-27T00:00:00"/>
        <d v="2025-09-28T00:00:00"/>
        <d v="2025-10-23T00:00:00"/>
        <d v="2025-10-24T00:00:00"/>
        <d v="2025-10-31T00:00:00"/>
        <d v="2025-11-11T00:00:00"/>
        <d v="2025-11-27T00:00:00"/>
      </sharedItems>
      <fieldGroup par="10"/>
    </cacheField>
    <cacheField name="Part" numFmtId="0">
      <sharedItems count="8">
        <s v="Power Supply"/>
        <s v="SSD"/>
        <s v="RAM"/>
        <s v="HDD"/>
        <s v="CPU"/>
        <s v="GPU"/>
        <s v="Motherboard"/>
        <s v="Cooling Fan"/>
      </sharedItems>
    </cacheField>
    <cacheField name="Region" numFmtId="0">
      <sharedItems count="6">
        <s v="Lamington Road"/>
        <s v="Nehru Place"/>
        <s v="GB Road "/>
        <s v="Charni Road"/>
        <s v="Eden Garden"/>
        <s v="GB Road"/>
      </sharedItems>
    </cacheField>
    <cacheField name="Quentity" numFmtId="0">
      <sharedItems containsSemiMixedTypes="0" containsString="0" containsNumber="1" containsInteger="1" minValue="4" maxValue="48" count="22">
        <n v="12"/>
        <n v="29"/>
        <n v="18"/>
        <n v="15"/>
        <n v="13"/>
        <n v="38"/>
        <n v="48"/>
        <n v="14"/>
        <n v="20"/>
        <n v="10"/>
        <n v="19"/>
        <n v="27"/>
        <n v="17"/>
        <n v="32"/>
        <n v="7"/>
        <n v="28"/>
        <n v="16"/>
        <n v="11"/>
        <n v="9"/>
        <n v="25"/>
        <n v="5"/>
        <n v="4"/>
      </sharedItems>
    </cacheField>
    <cacheField name="Cost_Per_Part" numFmtId="168">
      <sharedItems containsSemiMixedTypes="0" containsString="0" containsNumber="1" minValue="800" maxValue="47250"/>
    </cacheField>
    <cacheField name="Sell_Price_Per_Part" numFmtId="168">
      <sharedItems containsSemiMixedTypes="0" containsString="0" containsNumber="1" minValue="960" maxValue="55755.000000000007"/>
    </cacheField>
    <cacheField name="Profit_Per_Part" numFmtId="164">
      <sharedItems containsSemiMixedTypes="0" containsString="0" containsNumber="1" minValue="160" maxValue="8505.0000000000073" count="17">
        <n v="680"/>
        <n v="1750"/>
        <n v="1800"/>
        <n v="350"/>
        <n v="1925.0000000000009"/>
        <n v="3028"/>
        <n v="6804"/>
        <n v="2082"/>
        <n v="2880"/>
        <n v="160"/>
        <n v="7181.9999999999927"/>
        <n v="7560"/>
        <n v="2379.9999999999991"/>
        <n v="2592"/>
        <n v="3880"/>
        <n v="8505.0000000000073"/>
        <n v="490"/>
      </sharedItems>
    </cacheField>
    <cacheField name="Total_Profit" numFmtId="164">
      <sharedItems containsSemiMixedTypes="0" containsString="0" containsNumber="1" minValue="1760" maxValue="136080"/>
    </cacheField>
    <cacheField name="Margin" numFmtId="166">
      <sharedItems containsSemiMixedTypes="0" containsString="0" containsNumber="1" minValue="9.0909090909090912E-2" maxValue="0.25925925925925936" count="13">
        <n v="0.16666666666666666"/>
        <n v="0.25925925925925924"/>
        <n v="0.23076923076923078"/>
        <n v="9.0909090909090912E-2"/>
        <n v="0.25925925925925936"/>
        <n v="0.12279990266850516"/>
        <n v="0.15254237288135594"/>
        <n v="0.25921314741035856"/>
        <n v="0.13793103448275862"/>
        <n v="0.1525423728813558"/>
        <n v="0.25925925925925913"/>
        <n v="0.12278481012658228"/>
        <n v="0.15254237288135605"/>
      </sharedItems>
    </cacheField>
    <cacheField name="Days (Order_Date)" numFmtId="0" databaseField="0">
      <fieldGroup base="0">
        <rangePr groupBy="days" startDate="2025-03-02T00:00:00" endDate="2025-11-28T00:00:00"/>
        <groupItems count="368">
          <s v="&lt;3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28/2025"/>
        </groupItems>
      </fieldGroup>
    </cacheField>
    <cacheField name="Months (Order_Date)" numFmtId="0" databaseField="0">
      <fieldGroup base="0">
        <rangePr groupBy="months" startDate="2025-03-02T00:00:00" endDate="2025-11-28T00:00:00"/>
        <groupItems count="14">
          <s v="&lt;3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x v="0"/>
    <n v="3400"/>
    <n v="4080"/>
    <x v="0"/>
    <n v="8160"/>
    <x v="0"/>
  </r>
  <r>
    <x v="1"/>
    <x v="0"/>
    <x v="1"/>
    <x v="1"/>
    <n v="3400"/>
    <n v="4080"/>
    <x v="0"/>
    <n v="19720"/>
    <x v="0"/>
  </r>
  <r>
    <x v="2"/>
    <x v="1"/>
    <x v="2"/>
    <x v="2"/>
    <n v="5000"/>
    <n v="6750"/>
    <x v="1"/>
    <n v="31500"/>
    <x v="1"/>
  </r>
  <r>
    <x v="3"/>
    <x v="2"/>
    <x v="3"/>
    <x v="3"/>
    <n v="6000"/>
    <n v="7800"/>
    <x v="2"/>
    <n v="27000"/>
    <x v="2"/>
  </r>
  <r>
    <x v="3"/>
    <x v="3"/>
    <x v="4"/>
    <x v="4"/>
    <n v="3500"/>
    <n v="3850"/>
    <x v="3"/>
    <n v="4550"/>
    <x v="3"/>
  </r>
  <r>
    <x v="4"/>
    <x v="0"/>
    <x v="0"/>
    <x v="5"/>
    <n v="3400"/>
    <n v="4080"/>
    <x v="0"/>
    <n v="25840"/>
    <x v="0"/>
  </r>
  <r>
    <x v="5"/>
    <x v="0"/>
    <x v="1"/>
    <x v="6"/>
    <n v="3400"/>
    <n v="4080"/>
    <x v="0"/>
    <n v="32640"/>
    <x v="0"/>
  </r>
  <r>
    <x v="6"/>
    <x v="1"/>
    <x v="5"/>
    <x v="7"/>
    <n v="5500"/>
    <n v="7425.0000000000009"/>
    <x v="4"/>
    <n v="26950.000000000015"/>
    <x v="4"/>
  </r>
  <r>
    <x v="7"/>
    <x v="4"/>
    <x v="3"/>
    <x v="2"/>
    <n v="21630"/>
    <n v="24658"/>
    <x v="5"/>
    <n v="54504"/>
    <x v="5"/>
  </r>
  <r>
    <x v="8"/>
    <x v="5"/>
    <x v="4"/>
    <x v="8"/>
    <n v="37800"/>
    <n v="44604"/>
    <x v="6"/>
    <n v="136080"/>
    <x v="6"/>
  </r>
  <r>
    <x v="9"/>
    <x v="1"/>
    <x v="0"/>
    <x v="0"/>
    <n v="5950"/>
    <n v="8032"/>
    <x v="7"/>
    <n v="24984"/>
    <x v="7"/>
  </r>
  <r>
    <x v="10"/>
    <x v="1"/>
    <x v="1"/>
    <x v="9"/>
    <n v="5950"/>
    <n v="8032"/>
    <x v="7"/>
    <n v="20820"/>
    <x v="7"/>
  </r>
  <r>
    <x v="11"/>
    <x v="0"/>
    <x v="5"/>
    <x v="10"/>
    <n v="3400"/>
    <n v="4080"/>
    <x v="0"/>
    <n v="12920"/>
    <x v="0"/>
  </r>
  <r>
    <x v="11"/>
    <x v="6"/>
    <x v="3"/>
    <x v="11"/>
    <n v="18000"/>
    <n v="20880"/>
    <x v="8"/>
    <n v="77760"/>
    <x v="8"/>
  </r>
  <r>
    <x v="12"/>
    <x v="3"/>
    <x v="4"/>
    <x v="9"/>
    <n v="3500"/>
    <n v="3850"/>
    <x v="3"/>
    <n v="3500"/>
    <x v="3"/>
  </r>
  <r>
    <x v="13"/>
    <x v="7"/>
    <x v="0"/>
    <x v="3"/>
    <n v="800"/>
    <n v="960"/>
    <x v="9"/>
    <n v="2400"/>
    <x v="0"/>
  </r>
  <r>
    <x v="14"/>
    <x v="5"/>
    <x v="1"/>
    <x v="12"/>
    <n v="39900"/>
    <n v="47081.999999999993"/>
    <x v="10"/>
    <n v="122093.99999999988"/>
    <x v="9"/>
  </r>
  <r>
    <x v="15"/>
    <x v="7"/>
    <x v="5"/>
    <x v="3"/>
    <n v="800"/>
    <n v="960"/>
    <x v="9"/>
    <n v="2400"/>
    <x v="0"/>
  </r>
  <r>
    <x v="16"/>
    <x v="6"/>
    <x v="3"/>
    <x v="13"/>
    <n v="18000"/>
    <n v="20880"/>
    <x v="8"/>
    <n v="92160"/>
    <x v="8"/>
  </r>
  <r>
    <x v="17"/>
    <x v="5"/>
    <x v="4"/>
    <x v="2"/>
    <n v="42000"/>
    <n v="49560"/>
    <x v="11"/>
    <n v="136080"/>
    <x v="6"/>
  </r>
  <r>
    <x v="18"/>
    <x v="5"/>
    <x v="0"/>
    <x v="7"/>
    <n v="42000"/>
    <n v="49560"/>
    <x v="11"/>
    <n v="105840"/>
    <x v="6"/>
  </r>
  <r>
    <x v="19"/>
    <x v="6"/>
    <x v="1"/>
    <x v="3"/>
    <n v="18000"/>
    <n v="20880"/>
    <x v="8"/>
    <n v="43200"/>
    <x v="8"/>
  </r>
  <r>
    <x v="20"/>
    <x v="0"/>
    <x v="5"/>
    <x v="10"/>
    <n v="3400"/>
    <n v="4080"/>
    <x v="0"/>
    <n v="12920"/>
    <x v="0"/>
  </r>
  <r>
    <x v="21"/>
    <x v="5"/>
    <x v="3"/>
    <x v="7"/>
    <n v="42000"/>
    <n v="49560"/>
    <x v="11"/>
    <n v="105840"/>
    <x v="6"/>
  </r>
  <r>
    <x v="22"/>
    <x v="1"/>
    <x v="4"/>
    <x v="14"/>
    <n v="6800.0000000000009"/>
    <n v="9180"/>
    <x v="12"/>
    <n v="16659.999999999993"/>
    <x v="10"/>
  </r>
  <r>
    <x v="22"/>
    <x v="3"/>
    <x v="0"/>
    <x v="2"/>
    <n v="3500"/>
    <n v="3850"/>
    <x v="3"/>
    <n v="6300"/>
    <x v="3"/>
  </r>
  <r>
    <x v="23"/>
    <x v="3"/>
    <x v="1"/>
    <x v="11"/>
    <n v="3500"/>
    <n v="3850"/>
    <x v="3"/>
    <n v="9450"/>
    <x v="3"/>
  </r>
  <r>
    <x v="24"/>
    <x v="2"/>
    <x v="5"/>
    <x v="7"/>
    <n v="8640"/>
    <n v="11232"/>
    <x v="13"/>
    <n v="36288"/>
    <x v="2"/>
  </r>
  <r>
    <x v="25"/>
    <x v="6"/>
    <x v="3"/>
    <x v="15"/>
    <n v="18000"/>
    <n v="20880"/>
    <x v="8"/>
    <n v="80640"/>
    <x v="8"/>
  </r>
  <r>
    <x v="26"/>
    <x v="0"/>
    <x v="4"/>
    <x v="16"/>
    <n v="3400"/>
    <n v="4080"/>
    <x v="0"/>
    <n v="10880"/>
    <x v="0"/>
  </r>
  <r>
    <x v="27"/>
    <x v="7"/>
    <x v="0"/>
    <x v="17"/>
    <n v="800"/>
    <n v="960"/>
    <x v="9"/>
    <n v="1760"/>
    <x v="0"/>
  </r>
  <r>
    <x v="28"/>
    <x v="4"/>
    <x v="1"/>
    <x v="18"/>
    <n v="27720"/>
    <n v="31600"/>
    <x v="14"/>
    <n v="34920"/>
    <x v="11"/>
  </r>
  <r>
    <x v="29"/>
    <x v="4"/>
    <x v="5"/>
    <x v="17"/>
    <n v="27720"/>
    <n v="31600"/>
    <x v="14"/>
    <n v="42680"/>
    <x v="11"/>
  </r>
  <r>
    <x v="30"/>
    <x v="4"/>
    <x v="3"/>
    <x v="9"/>
    <n v="27720"/>
    <n v="31600"/>
    <x v="14"/>
    <n v="38800"/>
    <x v="11"/>
  </r>
  <r>
    <x v="31"/>
    <x v="7"/>
    <x v="4"/>
    <x v="19"/>
    <n v="800"/>
    <n v="960"/>
    <x v="9"/>
    <n v="4000"/>
    <x v="0"/>
  </r>
  <r>
    <x v="32"/>
    <x v="2"/>
    <x v="0"/>
    <x v="20"/>
    <n v="9600"/>
    <n v="12480"/>
    <x v="8"/>
    <n v="14400"/>
    <x v="2"/>
  </r>
  <r>
    <x v="33"/>
    <x v="2"/>
    <x v="1"/>
    <x v="14"/>
    <n v="9600"/>
    <n v="12480"/>
    <x v="8"/>
    <n v="20160"/>
    <x v="2"/>
  </r>
  <r>
    <x v="34"/>
    <x v="2"/>
    <x v="5"/>
    <x v="21"/>
    <n v="9600"/>
    <n v="12480"/>
    <x v="8"/>
    <n v="11520"/>
    <x v="2"/>
  </r>
  <r>
    <x v="35"/>
    <x v="5"/>
    <x v="3"/>
    <x v="14"/>
    <n v="47250"/>
    <n v="55755.000000000007"/>
    <x v="15"/>
    <n v="59535.000000000051"/>
    <x v="12"/>
  </r>
  <r>
    <x v="36"/>
    <x v="3"/>
    <x v="4"/>
    <x v="14"/>
    <n v="4900"/>
    <n v="5390"/>
    <x v="16"/>
    <n v="343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4BFF1-0DE9-4406-B313-C798FB26AC0D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6:B25" firstHeaderRow="1" firstDataRow="1" firstDataCol="1" rowPageCount="1" colPageCount="1"/>
  <pivotFields count="11">
    <pivotField numFmtId="167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Row" showAll="0">
      <items count="9">
        <item x="7"/>
        <item x="4"/>
        <item x="5"/>
        <item x="3"/>
        <item x="6"/>
        <item x="0"/>
        <item x="2"/>
        <item x="1"/>
        <item t="default"/>
      </items>
    </pivotField>
    <pivotField showAll="0"/>
    <pivotField showAll="0"/>
    <pivotField numFmtId="168" showAll="0"/>
    <pivotField numFmtId="168" showAll="0"/>
    <pivotField dataField="1" numFmtId="164" showAll="0">
      <items count="18">
        <item x="9"/>
        <item x="3"/>
        <item x="16"/>
        <item x="0"/>
        <item x="1"/>
        <item x="2"/>
        <item x="4"/>
        <item x="7"/>
        <item x="12"/>
        <item x="13"/>
        <item x="8"/>
        <item x="5"/>
        <item x="14"/>
        <item x="6"/>
        <item x="10"/>
        <item x="11"/>
        <item x="15"/>
        <item t="default"/>
      </items>
    </pivotField>
    <pivotField numFmtId="164" showAll="0"/>
    <pivotField numFmtId="166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Page" multipleItemSelectionAllowed="1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0" hier="-1"/>
  </pageFields>
  <dataFields count="1">
    <dataField name="Sum of Profit_Per_Part" fld="6" baseField="0" baseItem="0"/>
  </dataField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ACA81-D55B-45D1-B8E6-97B2B621F008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G1:H11" firstHeaderRow="1" firstDataRow="1" firstDataCol="1"/>
  <pivotFields count="11">
    <pivotField numFmtId="167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>
      <items count="9">
        <item sd="0" x="7"/>
        <item sd="0" x="4"/>
        <item sd="0" x="5"/>
        <item sd="0" x="3"/>
        <item sd="0" x="6"/>
        <item sd="0" x="0"/>
        <item sd="0" x="2"/>
        <item sd="0" x="1"/>
        <item t="default" sd="0"/>
      </items>
    </pivotField>
    <pivotField showAll="0"/>
    <pivotField showAll="0"/>
    <pivotField numFmtId="168" showAll="0"/>
    <pivotField numFmtId="168" showAll="0"/>
    <pivotField numFmtId="164" showAll="0"/>
    <pivotField dataField="1" numFmtId="164" showAll="0"/>
    <pivotField numFmtId="166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10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Profit" fld="7" baseField="0" baseItem="0"/>
  </dataFields>
  <formats count="4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/>
    </format>
    <format dxfId="3">
      <pivotArea dataOnly="0" labelOnly="1" grandRow="1" outline="0" fieldPosition="0"/>
    </format>
  </formats>
  <chartFormats count="10">
    <chartFormat chart="7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8A188-4B00-45A3-A068-F0C12A6A9A28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B10" firstHeaderRow="1" firstDataRow="1" firstDataCol="1"/>
  <pivotFields count="11">
    <pivotField numFmtId="167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Row" showAll="0">
      <items count="9">
        <item x="7"/>
        <item x="4"/>
        <item x="5"/>
        <item x="3"/>
        <item x="6"/>
        <item x="0"/>
        <item x="2"/>
        <item x="1"/>
        <item t="default"/>
      </items>
    </pivotField>
    <pivotField showAll="0"/>
    <pivotField dataField="1" showAll="0">
      <items count="23">
        <item x="21"/>
        <item x="20"/>
        <item x="14"/>
        <item x="18"/>
        <item x="9"/>
        <item x="17"/>
        <item x="0"/>
        <item x="4"/>
        <item x="7"/>
        <item x="3"/>
        <item x="16"/>
        <item x="12"/>
        <item x="2"/>
        <item x="10"/>
        <item x="8"/>
        <item x="19"/>
        <item x="11"/>
        <item x="15"/>
        <item x="1"/>
        <item x="13"/>
        <item x="5"/>
        <item x="6"/>
        <item t="default"/>
      </items>
    </pivotField>
    <pivotField numFmtId="168" showAll="0"/>
    <pivotField numFmtId="168" showAll="0"/>
    <pivotField numFmtId="164" showAll="0"/>
    <pivotField numFmtId="164" showAll="0"/>
    <pivotField numFmtId="166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entity" fld="3" baseField="0" baseItem="0"/>
  </dataFields>
  <formats count="6">
    <format dxfId="4">
      <pivotArea type="all" dataOnly="0" outline="0" fieldPosition="0"/>
    </format>
    <format dxfId="5">
      <pivotArea outline="0" collapsedLevelsAreSubtotals="1" fieldPosition="0"/>
    </format>
    <format dxfId="6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F7E00-7727-418B-826D-C56DC23415A4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L1:U9" firstHeaderRow="1" firstDataRow="2" firstDataCol="1"/>
  <pivotFields count="11">
    <pivotField numFmtId="167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Col" showAll="0">
      <items count="9">
        <item x="7"/>
        <item x="4"/>
        <item x="5"/>
        <item x="3"/>
        <item x="6"/>
        <item x="0"/>
        <item x="2"/>
        <item x="1"/>
        <item t="default"/>
      </items>
    </pivotField>
    <pivotField axis="axisRow" showAll="0">
      <items count="7">
        <item x="0"/>
        <item x="1"/>
        <item x="5"/>
        <item x="3"/>
        <item x="4"/>
        <item x="2"/>
        <item t="default"/>
      </items>
    </pivotField>
    <pivotField dataField="1" showAll="0"/>
    <pivotField numFmtId="168" showAll="0"/>
    <pivotField numFmtId="168" showAll="0"/>
    <pivotField numFmtId="164" showAll="0"/>
    <pivotField numFmtId="164" showAll="0"/>
    <pivotField numFmtId="166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Quentity" fld="3" baseField="0" baseItem="0"/>
  </dataFields>
  <formats count="10"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1" type="button" dataOnly="0" labelOnly="1" outline="0" axis="axisCol" fieldPosition="0"/>
    </format>
    <format dxfId="14">
      <pivotArea type="topRight" dataOnly="0" labelOnly="1" outline="0" fieldPosition="0"/>
    </format>
    <format dxfId="15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7">
      <pivotArea dataOnly="0" labelOnly="1" grandRow="1" outline="0" fieldPosition="0"/>
    </format>
    <format dxfId="18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</formats>
  <chartFormats count="8"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E423E4-B24E-4E53-918A-9751F970D8F1}" name="Table1" displayName="Table1" ref="A1:I41" totalsRowShown="0" headerRowDxfId="29">
  <autoFilter ref="A1:I41" xr:uid="{B5E423E4-B24E-4E53-918A-9751F970D8F1}"/>
  <tableColumns count="9">
    <tableColumn id="1" xr3:uid="{7FB8DCA0-BE49-4508-8EEB-4FB93BA92DBC}" name="Order_Date" dataDxfId="28"/>
    <tableColumn id="2" xr3:uid="{5E8D3B63-70A1-49C9-9305-1A86954C4D9C}" name="Part" dataDxfId="27"/>
    <tableColumn id="3" xr3:uid="{77195D8B-F93F-46AD-A5D8-8B991D32EF54}" name="Region" dataDxfId="26"/>
    <tableColumn id="4" xr3:uid="{C1C14267-D911-4448-8A45-6A81B4A5C1C5}" name="Quentity" dataDxfId="25"/>
    <tableColumn id="5" xr3:uid="{3002E851-048A-4A50-8BE8-4D2C6526966D}" name="Cost_Per_Part" dataDxfId="24"/>
    <tableColumn id="6" xr3:uid="{E61B8749-44E1-4D48-A3DF-18EE5600597F}" name="Sell_Price_Per_Part" dataDxfId="23"/>
    <tableColumn id="7" xr3:uid="{F36E2846-821F-4FF4-ACFA-7D20D57DA763}" name="Profit_Per_Part" dataDxfId="22">
      <calculatedColumnFormula>F2-E2</calculatedColumnFormula>
    </tableColumn>
    <tableColumn id="8" xr3:uid="{05850183-5260-4058-9651-3D8D91483612}" name="Total_Profit" dataDxfId="21">
      <calculatedColumnFormula>D2*G2</calculatedColumnFormula>
    </tableColumn>
    <tableColumn id="9" xr3:uid="{78C39CCD-C604-41FF-BEDE-0EC653BD4042}" name="Margin" dataDxfId="20">
      <calculatedColumnFormula>(G2/F2)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workbookViewId="0">
      <selection activeCell="D13" sqref="D13"/>
    </sheetView>
  </sheetViews>
  <sheetFormatPr defaultRowHeight="14.4" x14ac:dyDescent="0.3"/>
  <cols>
    <col min="1" max="1" width="10.109375" bestFit="1" customWidth="1"/>
    <col min="2" max="2" width="11.5546875" customWidth="1"/>
    <col min="3" max="3" width="16.109375" customWidth="1"/>
    <col min="4" max="4" width="14.33203125" customWidth="1"/>
    <col min="5" max="5" width="14.109375" customWidth="1"/>
    <col min="6" max="6" width="17.109375" customWidth="1"/>
    <col min="7" max="7" width="21.33203125" customWidth="1"/>
    <col min="8" max="8" width="18.109375" customWidth="1"/>
    <col min="9" max="9" width="15.21875" bestFit="1" customWidth="1"/>
    <col min="10" max="10" width="14.88671875" bestFit="1" customWidth="1"/>
    <col min="11" max="12" width="10.109375" customWidth="1"/>
    <col min="13" max="13" width="20" customWidth="1"/>
    <col min="15" max="15" width="18" customWidth="1"/>
    <col min="16" max="16" width="12" customWidth="1"/>
    <col min="17" max="17" width="10" customWidth="1"/>
  </cols>
  <sheetData>
    <row r="1" spans="1:17" x14ac:dyDescent="0.3">
      <c r="A1" s="1" t="s">
        <v>20</v>
      </c>
      <c r="B1" s="1" t="s">
        <v>0</v>
      </c>
      <c r="C1" s="1" t="s">
        <v>1</v>
      </c>
      <c r="D1" s="1" t="s">
        <v>22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21</v>
      </c>
      <c r="J1" s="1"/>
      <c r="K1" s="1"/>
      <c r="L1" s="1"/>
      <c r="M1" s="1"/>
      <c r="O1" s="8"/>
      <c r="P1" s="8"/>
      <c r="Q1" s="8"/>
    </row>
    <row r="2" spans="1:17" x14ac:dyDescent="0.3">
      <c r="A2" s="12">
        <v>45718</v>
      </c>
      <c r="B2" s="13" t="s">
        <v>6</v>
      </c>
      <c r="C2" s="13" t="s">
        <v>7</v>
      </c>
      <c r="D2" s="13">
        <v>12</v>
      </c>
      <c r="E2" s="14">
        <v>3400</v>
      </c>
      <c r="F2" s="15">
        <v>4080</v>
      </c>
      <c r="G2" s="16">
        <f>F2-E2</f>
        <v>680</v>
      </c>
      <c r="H2" s="16">
        <f>D2*G2</f>
        <v>8160</v>
      </c>
      <c r="I2" s="17">
        <f>(G2/F2)</f>
        <v>0.16666666666666666</v>
      </c>
      <c r="J2" s="5"/>
      <c r="K2" s="6"/>
      <c r="L2" s="3"/>
      <c r="M2" s="2"/>
      <c r="P2" s="4"/>
      <c r="Q2" s="5"/>
    </row>
    <row r="3" spans="1:17" x14ac:dyDescent="0.3">
      <c r="A3" s="12">
        <v>45726</v>
      </c>
      <c r="B3" s="13" t="s">
        <v>6</v>
      </c>
      <c r="C3" s="13" t="s">
        <v>9</v>
      </c>
      <c r="D3" s="13">
        <v>29</v>
      </c>
      <c r="E3" s="14">
        <v>3400</v>
      </c>
      <c r="F3" s="15">
        <v>4080</v>
      </c>
      <c r="G3" s="16">
        <f t="shared" ref="G3:G41" si="0">F3-E3</f>
        <v>680</v>
      </c>
      <c r="H3" s="16">
        <f t="shared" ref="H3:H41" si="1">D3*G3</f>
        <v>19720</v>
      </c>
      <c r="I3" s="17">
        <f t="shared" ref="I3:I41" si="2">(G3/F3)</f>
        <v>0.16666666666666666</v>
      </c>
      <c r="J3" s="5"/>
      <c r="K3" s="6"/>
      <c r="L3" s="2"/>
      <c r="M3" s="2"/>
      <c r="P3" s="4"/>
      <c r="Q3" s="5"/>
    </row>
    <row r="4" spans="1:17" x14ac:dyDescent="0.3">
      <c r="A4" s="12">
        <v>45727</v>
      </c>
      <c r="B4" s="13" t="s">
        <v>11</v>
      </c>
      <c r="C4" s="13" t="s">
        <v>12</v>
      </c>
      <c r="D4" s="13">
        <v>18</v>
      </c>
      <c r="E4" s="14">
        <v>5000</v>
      </c>
      <c r="F4" s="15">
        <v>6750</v>
      </c>
      <c r="G4" s="16">
        <f t="shared" si="0"/>
        <v>1750</v>
      </c>
      <c r="H4" s="16">
        <f t="shared" si="1"/>
        <v>31500</v>
      </c>
      <c r="I4" s="17">
        <f t="shared" si="2"/>
        <v>0.25925925925925924</v>
      </c>
      <c r="J4" s="5"/>
      <c r="K4" s="6"/>
      <c r="L4" s="3"/>
      <c r="M4" s="2"/>
      <c r="P4" s="4"/>
      <c r="Q4" s="5"/>
    </row>
    <row r="5" spans="1:17" x14ac:dyDescent="0.3">
      <c r="A5" s="12">
        <v>45733</v>
      </c>
      <c r="B5" s="13" t="s">
        <v>14</v>
      </c>
      <c r="C5" s="13" t="s">
        <v>15</v>
      </c>
      <c r="D5" s="13">
        <v>15</v>
      </c>
      <c r="E5" s="14">
        <v>6000</v>
      </c>
      <c r="F5" s="15">
        <v>7800</v>
      </c>
      <c r="G5" s="16">
        <f t="shared" si="0"/>
        <v>1800</v>
      </c>
      <c r="H5" s="16">
        <f t="shared" si="1"/>
        <v>27000</v>
      </c>
      <c r="I5" s="17">
        <f t="shared" si="2"/>
        <v>0.23076923076923078</v>
      </c>
      <c r="J5" s="5"/>
      <c r="K5" s="6"/>
      <c r="L5" s="2"/>
      <c r="M5" s="2"/>
      <c r="P5" s="4"/>
      <c r="Q5" s="5"/>
    </row>
    <row r="6" spans="1:17" x14ac:dyDescent="0.3">
      <c r="A6" s="12">
        <v>45733</v>
      </c>
      <c r="B6" s="13" t="s">
        <v>16</v>
      </c>
      <c r="C6" s="13" t="s">
        <v>17</v>
      </c>
      <c r="D6" s="13">
        <v>13</v>
      </c>
      <c r="E6" s="14">
        <v>3500</v>
      </c>
      <c r="F6" s="15">
        <v>3850</v>
      </c>
      <c r="G6" s="16">
        <f t="shared" si="0"/>
        <v>350</v>
      </c>
      <c r="H6" s="16">
        <f t="shared" si="1"/>
        <v>4550</v>
      </c>
      <c r="I6" s="17">
        <f t="shared" si="2"/>
        <v>9.0909090909090912E-2</v>
      </c>
      <c r="J6" s="5"/>
      <c r="K6" s="6"/>
      <c r="L6" s="2"/>
      <c r="M6" s="2"/>
      <c r="P6" s="4"/>
      <c r="Q6" s="5"/>
    </row>
    <row r="7" spans="1:17" x14ac:dyDescent="0.3">
      <c r="A7" s="12">
        <v>45737</v>
      </c>
      <c r="B7" s="13" t="s">
        <v>6</v>
      </c>
      <c r="C7" s="13" t="s">
        <v>7</v>
      </c>
      <c r="D7" s="13">
        <v>38</v>
      </c>
      <c r="E7" s="14">
        <v>3400</v>
      </c>
      <c r="F7" s="15">
        <v>4080</v>
      </c>
      <c r="G7" s="16">
        <f t="shared" si="0"/>
        <v>680</v>
      </c>
      <c r="H7" s="16">
        <f t="shared" si="1"/>
        <v>25840</v>
      </c>
      <c r="I7" s="17">
        <f t="shared" si="2"/>
        <v>0.16666666666666666</v>
      </c>
      <c r="J7" s="5"/>
      <c r="K7" s="6"/>
      <c r="L7" s="2"/>
      <c r="M7" s="2"/>
      <c r="P7" s="4"/>
      <c r="Q7" s="5"/>
    </row>
    <row r="8" spans="1:17" x14ac:dyDescent="0.3">
      <c r="A8" s="12">
        <v>45755</v>
      </c>
      <c r="B8" s="13" t="s">
        <v>6</v>
      </c>
      <c r="C8" s="13" t="s">
        <v>9</v>
      </c>
      <c r="D8" s="13">
        <v>48</v>
      </c>
      <c r="E8" s="14">
        <v>3400</v>
      </c>
      <c r="F8" s="15">
        <v>4080</v>
      </c>
      <c r="G8" s="16">
        <f t="shared" si="0"/>
        <v>680</v>
      </c>
      <c r="H8" s="16">
        <f t="shared" si="1"/>
        <v>32640</v>
      </c>
      <c r="I8" s="17">
        <f t="shared" si="2"/>
        <v>0.16666666666666666</v>
      </c>
      <c r="J8" s="5"/>
      <c r="K8" s="6"/>
      <c r="L8" s="2"/>
      <c r="M8" s="2"/>
      <c r="P8" s="4"/>
      <c r="Q8" s="5"/>
    </row>
    <row r="9" spans="1:17" x14ac:dyDescent="0.3">
      <c r="A9" s="12">
        <v>45760</v>
      </c>
      <c r="B9" s="13" t="s">
        <v>11</v>
      </c>
      <c r="C9" s="13" t="s">
        <v>19</v>
      </c>
      <c r="D9" s="13">
        <v>14</v>
      </c>
      <c r="E9" s="14">
        <v>5500</v>
      </c>
      <c r="F9" s="15">
        <v>7425.0000000000009</v>
      </c>
      <c r="G9" s="16">
        <f t="shared" si="0"/>
        <v>1925.0000000000009</v>
      </c>
      <c r="H9" s="16">
        <f t="shared" si="1"/>
        <v>26950.000000000015</v>
      </c>
      <c r="I9" s="17">
        <f t="shared" si="2"/>
        <v>0.25925925925925936</v>
      </c>
      <c r="J9" s="5"/>
      <c r="K9" s="6"/>
      <c r="L9" s="2"/>
      <c r="M9" s="2"/>
      <c r="P9" s="4"/>
      <c r="Q9" s="5"/>
    </row>
    <row r="10" spans="1:17" x14ac:dyDescent="0.3">
      <c r="A10" s="12">
        <v>45771</v>
      </c>
      <c r="B10" s="13" t="s">
        <v>8</v>
      </c>
      <c r="C10" s="13" t="s">
        <v>15</v>
      </c>
      <c r="D10" s="13">
        <v>18</v>
      </c>
      <c r="E10" s="14">
        <v>21630</v>
      </c>
      <c r="F10" s="15">
        <v>24658</v>
      </c>
      <c r="G10" s="16">
        <f t="shared" si="0"/>
        <v>3028</v>
      </c>
      <c r="H10" s="16">
        <f t="shared" si="1"/>
        <v>54504</v>
      </c>
      <c r="I10" s="17">
        <f t="shared" si="2"/>
        <v>0.12279990266850516</v>
      </c>
      <c r="J10" s="5"/>
      <c r="K10" s="6"/>
      <c r="L10" s="2"/>
      <c r="M10" s="2"/>
    </row>
    <row r="11" spans="1:17" x14ac:dyDescent="0.3">
      <c r="A11" s="12">
        <v>45784</v>
      </c>
      <c r="B11" s="13" t="s">
        <v>13</v>
      </c>
      <c r="C11" s="13" t="s">
        <v>17</v>
      </c>
      <c r="D11" s="13">
        <v>20</v>
      </c>
      <c r="E11" s="14">
        <v>37800</v>
      </c>
      <c r="F11" s="15">
        <v>44604</v>
      </c>
      <c r="G11" s="16">
        <f t="shared" si="0"/>
        <v>6804</v>
      </c>
      <c r="H11" s="16">
        <f t="shared" si="1"/>
        <v>136080</v>
      </c>
      <c r="I11" s="17">
        <f t="shared" si="2"/>
        <v>0.15254237288135594</v>
      </c>
      <c r="J11" s="5"/>
      <c r="K11" s="6"/>
      <c r="L11" s="2"/>
      <c r="M11" s="2"/>
      <c r="O11" s="7"/>
    </row>
    <row r="12" spans="1:17" x14ac:dyDescent="0.3">
      <c r="A12" s="12">
        <v>45793</v>
      </c>
      <c r="B12" s="13" t="s">
        <v>11</v>
      </c>
      <c r="C12" s="13" t="s">
        <v>7</v>
      </c>
      <c r="D12" s="13">
        <v>12</v>
      </c>
      <c r="E12" s="14">
        <v>5950</v>
      </c>
      <c r="F12" s="15">
        <v>8032</v>
      </c>
      <c r="G12" s="16">
        <f t="shared" si="0"/>
        <v>2082</v>
      </c>
      <c r="H12" s="16">
        <f t="shared" si="1"/>
        <v>24984</v>
      </c>
      <c r="I12" s="17">
        <f t="shared" si="2"/>
        <v>0.25921314741035856</v>
      </c>
      <c r="J12" s="5"/>
      <c r="K12" s="6"/>
      <c r="L12" s="2"/>
      <c r="M12" s="2"/>
    </row>
    <row r="13" spans="1:17" x14ac:dyDescent="0.3">
      <c r="A13" s="12">
        <v>45796</v>
      </c>
      <c r="B13" s="13" t="s">
        <v>11</v>
      </c>
      <c r="C13" s="13" t="s">
        <v>9</v>
      </c>
      <c r="D13" s="13">
        <v>10</v>
      </c>
      <c r="E13" s="14">
        <v>5950</v>
      </c>
      <c r="F13" s="15">
        <v>8032</v>
      </c>
      <c r="G13" s="16">
        <f t="shared" si="0"/>
        <v>2082</v>
      </c>
      <c r="H13" s="16">
        <f t="shared" si="1"/>
        <v>20820</v>
      </c>
      <c r="I13" s="17">
        <f t="shared" si="2"/>
        <v>0.25921314741035856</v>
      </c>
      <c r="J13" s="5"/>
      <c r="K13" s="6"/>
      <c r="L13" s="2"/>
      <c r="M13" s="2"/>
    </row>
    <row r="14" spans="1:17" x14ac:dyDescent="0.3">
      <c r="A14" s="12">
        <v>45801</v>
      </c>
      <c r="B14" s="13" t="s">
        <v>6</v>
      </c>
      <c r="C14" s="13" t="s">
        <v>19</v>
      </c>
      <c r="D14" s="13">
        <v>19</v>
      </c>
      <c r="E14" s="14">
        <v>3400</v>
      </c>
      <c r="F14" s="15">
        <v>4080</v>
      </c>
      <c r="G14" s="16">
        <f t="shared" si="0"/>
        <v>680</v>
      </c>
      <c r="H14" s="16">
        <f t="shared" si="1"/>
        <v>12920</v>
      </c>
      <c r="I14" s="17">
        <f t="shared" si="2"/>
        <v>0.16666666666666666</v>
      </c>
      <c r="J14" s="5"/>
      <c r="K14" s="6"/>
      <c r="L14" s="2"/>
      <c r="M14" s="2"/>
    </row>
    <row r="15" spans="1:17" x14ac:dyDescent="0.3">
      <c r="A15" s="12">
        <v>45801</v>
      </c>
      <c r="B15" s="13" t="s">
        <v>18</v>
      </c>
      <c r="C15" s="13" t="s">
        <v>15</v>
      </c>
      <c r="D15" s="13">
        <v>27</v>
      </c>
      <c r="E15" s="14">
        <v>18000</v>
      </c>
      <c r="F15" s="15">
        <v>20880</v>
      </c>
      <c r="G15" s="16">
        <f t="shared" si="0"/>
        <v>2880</v>
      </c>
      <c r="H15" s="16">
        <f t="shared" si="1"/>
        <v>77760</v>
      </c>
      <c r="I15" s="17">
        <f t="shared" si="2"/>
        <v>0.13793103448275862</v>
      </c>
      <c r="J15" s="5"/>
      <c r="K15" s="6"/>
      <c r="L15" s="2"/>
      <c r="M15" s="2"/>
    </row>
    <row r="16" spans="1:17" x14ac:dyDescent="0.3">
      <c r="A16" s="12">
        <v>45805</v>
      </c>
      <c r="B16" s="13" t="s">
        <v>16</v>
      </c>
      <c r="C16" s="13" t="s">
        <v>17</v>
      </c>
      <c r="D16" s="13">
        <v>10</v>
      </c>
      <c r="E16" s="14">
        <v>3500</v>
      </c>
      <c r="F16" s="15">
        <v>3850</v>
      </c>
      <c r="G16" s="16">
        <f t="shared" si="0"/>
        <v>350</v>
      </c>
      <c r="H16" s="16">
        <f t="shared" si="1"/>
        <v>3500</v>
      </c>
      <c r="I16" s="17">
        <f t="shared" si="2"/>
        <v>9.0909090909090912E-2</v>
      </c>
      <c r="J16" s="5"/>
      <c r="K16" s="6"/>
      <c r="L16" s="2"/>
      <c r="M16" s="2"/>
    </row>
    <row r="17" spans="1:13" x14ac:dyDescent="0.3">
      <c r="A17" s="12">
        <v>45823</v>
      </c>
      <c r="B17" s="13" t="s">
        <v>10</v>
      </c>
      <c r="C17" s="13" t="s">
        <v>7</v>
      </c>
      <c r="D17" s="13">
        <v>15</v>
      </c>
      <c r="E17" s="14">
        <v>800</v>
      </c>
      <c r="F17" s="15">
        <v>960</v>
      </c>
      <c r="G17" s="16">
        <f t="shared" si="0"/>
        <v>160</v>
      </c>
      <c r="H17" s="16">
        <f t="shared" si="1"/>
        <v>2400</v>
      </c>
      <c r="I17" s="17">
        <f t="shared" si="2"/>
        <v>0.16666666666666666</v>
      </c>
      <c r="J17" s="5"/>
      <c r="K17" s="6"/>
      <c r="L17" s="2"/>
      <c r="M17" s="2"/>
    </row>
    <row r="18" spans="1:13" x14ac:dyDescent="0.3">
      <c r="A18" s="12">
        <v>45824</v>
      </c>
      <c r="B18" s="13" t="s">
        <v>13</v>
      </c>
      <c r="C18" s="13" t="s">
        <v>9</v>
      </c>
      <c r="D18" s="13">
        <v>17</v>
      </c>
      <c r="E18" s="14">
        <v>39900</v>
      </c>
      <c r="F18" s="15">
        <v>47081.999999999993</v>
      </c>
      <c r="G18" s="16">
        <f t="shared" si="0"/>
        <v>7181.9999999999927</v>
      </c>
      <c r="H18" s="16">
        <f t="shared" si="1"/>
        <v>122093.99999999988</v>
      </c>
      <c r="I18" s="17">
        <f t="shared" si="2"/>
        <v>0.1525423728813558</v>
      </c>
      <c r="J18" s="5"/>
      <c r="K18" s="6"/>
      <c r="L18" s="2"/>
      <c r="M18" s="2"/>
    </row>
    <row r="19" spans="1:13" x14ac:dyDescent="0.3">
      <c r="A19" s="12">
        <v>45828</v>
      </c>
      <c r="B19" s="13" t="s">
        <v>10</v>
      </c>
      <c r="C19" s="13" t="s">
        <v>19</v>
      </c>
      <c r="D19" s="13">
        <v>15</v>
      </c>
      <c r="E19" s="14">
        <v>800</v>
      </c>
      <c r="F19" s="15">
        <v>960</v>
      </c>
      <c r="G19" s="16">
        <f t="shared" si="0"/>
        <v>160</v>
      </c>
      <c r="H19" s="16">
        <f t="shared" si="1"/>
        <v>2400</v>
      </c>
      <c r="I19" s="17">
        <f t="shared" si="2"/>
        <v>0.16666666666666666</v>
      </c>
      <c r="J19" s="5"/>
      <c r="K19" s="6"/>
      <c r="L19" s="2"/>
      <c r="M19" s="2"/>
    </row>
    <row r="20" spans="1:13" x14ac:dyDescent="0.3">
      <c r="A20" s="12">
        <v>45830</v>
      </c>
      <c r="B20" s="13" t="s">
        <v>18</v>
      </c>
      <c r="C20" s="13" t="s">
        <v>15</v>
      </c>
      <c r="D20" s="13">
        <v>32</v>
      </c>
      <c r="E20" s="14">
        <v>18000</v>
      </c>
      <c r="F20" s="15">
        <v>20880</v>
      </c>
      <c r="G20" s="16">
        <f t="shared" si="0"/>
        <v>2880</v>
      </c>
      <c r="H20" s="16">
        <f t="shared" si="1"/>
        <v>92160</v>
      </c>
      <c r="I20" s="17">
        <f t="shared" si="2"/>
        <v>0.13793103448275862</v>
      </c>
      <c r="J20" s="5"/>
      <c r="K20" s="6"/>
      <c r="L20" s="2"/>
      <c r="M20" s="2"/>
    </row>
    <row r="21" spans="1:13" x14ac:dyDescent="0.3">
      <c r="A21" s="12">
        <v>45842</v>
      </c>
      <c r="B21" s="13" t="s">
        <v>13</v>
      </c>
      <c r="C21" s="13" t="s">
        <v>17</v>
      </c>
      <c r="D21" s="13">
        <v>18</v>
      </c>
      <c r="E21" s="14">
        <v>42000</v>
      </c>
      <c r="F21" s="15">
        <v>49560</v>
      </c>
      <c r="G21" s="16">
        <f t="shared" si="0"/>
        <v>7560</v>
      </c>
      <c r="H21" s="16">
        <f t="shared" si="1"/>
        <v>136080</v>
      </c>
      <c r="I21" s="17">
        <f t="shared" si="2"/>
        <v>0.15254237288135594</v>
      </c>
      <c r="J21" s="5"/>
      <c r="K21" s="6"/>
      <c r="L21" s="2"/>
      <c r="M21" s="2"/>
    </row>
    <row r="22" spans="1:13" x14ac:dyDescent="0.3">
      <c r="A22" s="12">
        <v>45852</v>
      </c>
      <c r="B22" s="13" t="s">
        <v>13</v>
      </c>
      <c r="C22" s="13" t="s">
        <v>7</v>
      </c>
      <c r="D22" s="13">
        <v>14</v>
      </c>
      <c r="E22" s="14">
        <v>42000</v>
      </c>
      <c r="F22" s="15">
        <v>49560</v>
      </c>
      <c r="G22" s="16">
        <f t="shared" si="0"/>
        <v>7560</v>
      </c>
      <c r="H22" s="16">
        <f t="shared" si="1"/>
        <v>105840</v>
      </c>
      <c r="I22" s="17">
        <f t="shared" si="2"/>
        <v>0.15254237288135594</v>
      </c>
      <c r="J22" s="5"/>
      <c r="K22" s="6"/>
      <c r="L22" s="2"/>
      <c r="M22" s="2"/>
    </row>
    <row r="23" spans="1:13" x14ac:dyDescent="0.3">
      <c r="A23" s="12">
        <v>45855</v>
      </c>
      <c r="B23" s="13" t="s">
        <v>18</v>
      </c>
      <c r="C23" s="13" t="s">
        <v>9</v>
      </c>
      <c r="D23" s="13">
        <v>15</v>
      </c>
      <c r="E23" s="14">
        <v>18000</v>
      </c>
      <c r="F23" s="15">
        <v>20880</v>
      </c>
      <c r="G23" s="16">
        <f t="shared" si="0"/>
        <v>2880</v>
      </c>
      <c r="H23" s="16">
        <f t="shared" si="1"/>
        <v>43200</v>
      </c>
      <c r="I23" s="17">
        <f t="shared" si="2"/>
        <v>0.13793103448275862</v>
      </c>
      <c r="J23" s="5"/>
      <c r="K23" s="6"/>
      <c r="L23" s="2"/>
      <c r="M23" s="2"/>
    </row>
    <row r="24" spans="1:13" x14ac:dyDescent="0.3">
      <c r="A24" s="12">
        <v>45857</v>
      </c>
      <c r="B24" s="13" t="s">
        <v>6</v>
      </c>
      <c r="C24" s="13" t="s">
        <v>19</v>
      </c>
      <c r="D24" s="13">
        <v>19</v>
      </c>
      <c r="E24" s="14">
        <v>3400</v>
      </c>
      <c r="F24" s="15">
        <v>4080</v>
      </c>
      <c r="G24" s="16">
        <f t="shared" si="0"/>
        <v>680</v>
      </c>
      <c r="H24" s="16">
        <f t="shared" si="1"/>
        <v>12920</v>
      </c>
      <c r="I24" s="17">
        <f t="shared" si="2"/>
        <v>0.16666666666666666</v>
      </c>
      <c r="J24" s="5"/>
      <c r="K24" s="6"/>
      <c r="L24" s="2"/>
      <c r="M24" s="2"/>
    </row>
    <row r="25" spans="1:13" x14ac:dyDescent="0.3">
      <c r="A25" s="12">
        <v>45861</v>
      </c>
      <c r="B25" s="13" t="s">
        <v>13</v>
      </c>
      <c r="C25" s="13" t="s">
        <v>15</v>
      </c>
      <c r="D25" s="13">
        <v>14</v>
      </c>
      <c r="E25" s="14">
        <v>42000</v>
      </c>
      <c r="F25" s="15">
        <v>49560</v>
      </c>
      <c r="G25" s="16">
        <f t="shared" si="0"/>
        <v>7560</v>
      </c>
      <c r="H25" s="16">
        <f t="shared" si="1"/>
        <v>105840</v>
      </c>
      <c r="I25" s="17">
        <f t="shared" si="2"/>
        <v>0.15254237288135594</v>
      </c>
      <c r="J25" s="5"/>
      <c r="K25" s="6"/>
      <c r="L25" s="2"/>
      <c r="M25" s="2"/>
    </row>
    <row r="26" spans="1:13" x14ac:dyDescent="0.3">
      <c r="A26" s="12">
        <v>45866</v>
      </c>
      <c r="B26" s="13" t="s">
        <v>11</v>
      </c>
      <c r="C26" s="13" t="s">
        <v>17</v>
      </c>
      <c r="D26" s="13">
        <v>7</v>
      </c>
      <c r="E26" s="14">
        <v>6800.0000000000009</v>
      </c>
      <c r="F26" s="15">
        <v>9180</v>
      </c>
      <c r="G26" s="16">
        <f t="shared" si="0"/>
        <v>2379.9999999999991</v>
      </c>
      <c r="H26" s="16">
        <f t="shared" si="1"/>
        <v>16659.999999999993</v>
      </c>
      <c r="I26" s="17">
        <f t="shared" si="2"/>
        <v>0.25925925925925913</v>
      </c>
      <c r="J26" s="5"/>
      <c r="K26" s="6"/>
      <c r="L26" s="2"/>
      <c r="M26" s="2"/>
    </row>
    <row r="27" spans="1:13" x14ac:dyDescent="0.3">
      <c r="A27" s="12">
        <v>45866</v>
      </c>
      <c r="B27" s="13" t="s">
        <v>16</v>
      </c>
      <c r="C27" s="13" t="s">
        <v>7</v>
      </c>
      <c r="D27" s="13">
        <v>18</v>
      </c>
      <c r="E27" s="14">
        <v>3500</v>
      </c>
      <c r="F27" s="15">
        <v>3850</v>
      </c>
      <c r="G27" s="16">
        <f t="shared" si="0"/>
        <v>350</v>
      </c>
      <c r="H27" s="16">
        <f t="shared" si="1"/>
        <v>6300</v>
      </c>
      <c r="I27" s="17">
        <f t="shared" si="2"/>
        <v>9.0909090909090912E-2</v>
      </c>
      <c r="J27" s="5"/>
      <c r="K27" s="6"/>
      <c r="L27" s="2"/>
      <c r="M27" s="2"/>
    </row>
    <row r="28" spans="1:13" x14ac:dyDescent="0.3">
      <c r="A28" s="12">
        <v>45884</v>
      </c>
      <c r="B28" s="13" t="s">
        <v>16</v>
      </c>
      <c r="C28" s="13" t="s">
        <v>9</v>
      </c>
      <c r="D28" s="13">
        <v>27</v>
      </c>
      <c r="E28" s="14">
        <v>3500</v>
      </c>
      <c r="F28" s="15">
        <v>3850</v>
      </c>
      <c r="G28" s="16">
        <f t="shared" si="0"/>
        <v>350</v>
      </c>
      <c r="H28" s="16">
        <f t="shared" si="1"/>
        <v>9450</v>
      </c>
      <c r="I28" s="17">
        <f t="shared" si="2"/>
        <v>9.0909090909090912E-2</v>
      </c>
      <c r="J28" s="5"/>
      <c r="K28" s="6"/>
      <c r="L28" s="2"/>
      <c r="M28" s="2"/>
    </row>
    <row r="29" spans="1:13" x14ac:dyDescent="0.3">
      <c r="A29" s="12">
        <v>45891</v>
      </c>
      <c r="B29" s="13" t="s">
        <v>14</v>
      </c>
      <c r="C29" s="13" t="s">
        <v>19</v>
      </c>
      <c r="D29" s="13">
        <v>14</v>
      </c>
      <c r="E29" s="14">
        <v>8640</v>
      </c>
      <c r="F29" s="15">
        <v>11232</v>
      </c>
      <c r="G29" s="16">
        <f t="shared" si="0"/>
        <v>2592</v>
      </c>
      <c r="H29" s="16">
        <f t="shared" si="1"/>
        <v>36288</v>
      </c>
      <c r="I29" s="17">
        <f t="shared" si="2"/>
        <v>0.23076923076923078</v>
      </c>
      <c r="J29" s="5"/>
      <c r="K29" s="6"/>
      <c r="L29" s="2"/>
      <c r="M29" s="2"/>
    </row>
    <row r="30" spans="1:13" x14ac:dyDescent="0.3">
      <c r="A30" s="12">
        <v>45894</v>
      </c>
      <c r="B30" s="13" t="s">
        <v>18</v>
      </c>
      <c r="C30" s="13" t="s">
        <v>15</v>
      </c>
      <c r="D30" s="13">
        <v>28</v>
      </c>
      <c r="E30" s="14">
        <v>18000</v>
      </c>
      <c r="F30" s="15">
        <v>20880</v>
      </c>
      <c r="G30" s="16">
        <f t="shared" si="0"/>
        <v>2880</v>
      </c>
      <c r="H30" s="16">
        <f t="shared" si="1"/>
        <v>80640</v>
      </c>
      <c r="I30" s="17">
        <f t="shared" si="2"/>
        <v>0.13793103448275862</v>
      </c>
      <c r="J30" s="5"/>
      <c r="K30" s="6"/>
      <c r="L30" s="2"/>
      <c r="M30" s="2"/>
    </row>
    <row r="31" spans="1:13" x14ac:dyDescent="0.3">
      <c r="A31" s="12">
        <v>45895</v>
      </c>
      <c r="B31" s="13" t="s">
        <v>6</v>
      </c>
      <c r="C31" s="13" t="s">
        <v>17</v>
      </c>
      <c r="D31" s="13">
        <v>16</v>
      </c>
      <c r="E31" s="14">
        <v>3400</v>
      </c>
      <c r="F31" s="15">
        <v>4080</v>
      </c>
      <c r="G31" s="16">
        <f t="shared" si="0"/>
        <v>680</v>
      </c>
      <c r="H31" s="16">
        <f t="shared" si="1"/>
        <v>10880</v>
      </c>
      <c r="I31" s="17">
        <f t="shared" si="2"/>
        <v>0.16666666666666666</v>
      </c>
      <c r="J31" s="5"/>
      <c r="K31" s="6"/>
      <c r="L31" s="2"/>
      <c r="M31" s="2"/>
    </row>
    <row r="32" spans="1:13" x14ac:dyDescent="0.3">
      <c r="A32" s="12">
        <v>45898</v>
      </c>
      <c r="B32" s="13" t="s">
        <v>10</v>
      </c>
      <c r="C32" s="13" t="s">
        <v>7</v>
      </c>
      <c r="D32" s="13">
        <v>11</v>
      </c>
      <c r="E32" s="14">
        <v>800</v>
      </c>
      <c r="F32" s="15">
        <v>960</v>
      </c>
      <c r="G32" s="16">
        <f t="shared" si="0"/>
        <v>160</v>
      </c>
      <c r="H32" s="16">
        <f t="shared" si="1"/>
        <v>1760</v>
      </c>
      <c r="I32" s="17">
        <f t="shared" si="2"/>
        <v>0.16666666666666666</v>
      </c>
      <c r="J32" s="5"/>
      <c r="K32" s="6"/>
      <c r="L32" s="2"/>
      <c r="M32" s="2"/>
    </row>
    <row r="33" spans="1:13" x14ac:dyDescent="0.3">
      <c r="A33" s="12">
        <v>45910</v>
      </c>
      <c r="B33" s="13" t="s">
        <v>8</v>
      </c>
      <c r="C33" s="13" t="s">
        <v>9</v>
      </c>
      <c r="D33" s="13">
        <v>9</v>
      </c>
      <c r="E33" s="14">
        <v>27720</v>
      </c>
      <c r="F33" s="15">
        <v>31600</v>
      </c>
      <c r="G33" s="16">
        <f t="shared" si="0"/>
        <v>3880</v>
      </c>
      <c r="H33" s="16">
        <f t="shared" si="1"/>
        <v>34920</v>
      </c>
      <c r="I33" s="17">
        <f t="shared" si="2"/>
        <v>0.12278481012658228</v>
      </c>
      <c r="J33" s="5"/>
      <c r="K33" s="6"/>
      <c r="L33" s="2"/>
      <c r="M33" s="2"/>
    </row>
    <row r="34" spans="1:13" x14ac:dyDescent="0.3">
      <c r="A34" s="12">
        <v>45919</v>
      </c>
      <c r="B34" s="13" t="s">
        <v>8</v>
      </c>
      <c r="C34" s="13" t="s">
        <v>19</v>
      </c>
      <c r="D34" s="13">
        <v>11</v>
      </c>
      <c r="E34" s="14">
        <v>27720</v>
      </c>
      <c r="F34" s="15">
        <v>31600</v>
      </c>
      <c r="G34" s="16">
        <f t="shared" si="0"/>
        <v>3880</v>
      </c>
      <c r="H34" s="16">
        <f t="shared" si="1"/>
        <v>42680</v>
      </c>
      <c r="I34" s="17">
        <f t="shared" si="2"/>
        <v>0.12278481012658228</v>
      </c>
      <c r="J34" s="5"/>
      <c r="K34" s="6"/>
      <c r="L34" s="2"/>
      <c r="M34" s="2"/>
    </row>
    <row r="35" spans="1:13" x14ac:dyDescent="0.3">
      <c r="A35" s="12">
        <v>45927</v>
      </c>
      <c r="B35" s="13" t="s">
        <v>8</v>
      </c>
      <c r="C35" s="13" t="s">
        <v>15</v>
      </c>
      <c r="D35" s="13">
        <v>10</v>
      </c>
      <c r="E35" s="14">
        <v>27720</v>
      </c>
      <c r="F35" s="15">
        <v>31600</v>
      </c>
      <c r="G35" s="16">
        <f t="shared" si="0"/>
        <v>3880</v>
      </c>
      <c r="H35" s="16">
        <f t="shared" si="1"/>
        <v>38800</v>
      </c>
      <c r="I35" s="17">
        <f t="shared" si="2"/>
        <v>0.12278481012658228</v>
      </c>
      <c r="J35" s="5"/>
      <c r="K35" s="6"/>
      <c r="L35" s="2"/>
      <c r="M35" s="2"/>
    </row>
    <row r="36" spans="1:13" x14ac:dyDescent="0.3">
      <c r="A36" s="12">
        <v>45928</v>
      </c>
      <c r="B36" s="13" t="s">
        <v>10</v>
      </c>
      <c r="C36" s="13" t="s">
        <v>17</v>
      </c>
      <c r="D36" s="13">
        <v>25</v>
      </c>
      <c r="E36" s="14">
        <v>800</v>
      </c>
      <c r="F36" s="15">
        <v>960</v>
      </c>
      <c r="G36" s="16">
        <f t="shared" si="0"/>
        <v>160</v>
      </c>
      <c r="H36" s="16">
        <f t="shared" si="1"/>
        <v>4000</v>
      </c>
      <c r="I36" s="17">
        <f t="shared" si="2"/>
        <v>0.16666666666666666</v>
      </c>
      <c r="J36" s="5"/>
      <c r="K36" s="6"/>
      <c r="L36" s="2"/>
      <c r="M36" s="2"/>
    </row>
    <row r="37" spans="1:13" x14ac:dyDescent="0.3">
      <c r="A37" s="12">
        <v>45953</v>
      </c>
      <c r="B37" s="13" t="s">
        <v>14</v>
      </c>
      <c r="C37" s="13" t="s">
        <v>7</v>
      </c>
      <c r="D37" s="13">
        <v>5</v>
      </c>
      <c r="E37" s="14">
        <v>9600</v>
      </c>
      <c r="F37" s="15">
        <v>12480</v>
      </c>
      <c r="G37" s="16">
        <f t="shared" si="0"/>
        <v>2880</v>
      </c>
      <c r="H37" s="16">
        <f t="shared" si="1"/>
        <v>14400</v>
      </c>
      <c r="I37" s="17">
        <f t="shared" si="2"/>
        <v>0.23076923076923078</v>
      </c>
      <c r="J37" s="5"/>
      <c r="K37" s="6"/>
      <c r="L37" s="2"/>
      <c r="M37" s="2"/>
    </row>
    <row r="38" spans="1:13" x14ac:dyDescent="0.3">
      <c r="A38" s="12">
        <v>45954</v>
      </c>
      <c r="B38" s="13" t="s">
        <v>14</v>
      </c>
      <c r="C38" s="13" t="s">
        <v>9</v>
      </c>
      <c r="D38" s="13">
        <v>7</v>
      </c>
      <c r="E38" s="14">
        <v>9600</v>
      </c>
      <c r="F38" s="15">
        <v>12480</v>
      </c>
      <c r="G38" s="16">
        <f t="shared" si="0"/>
        <v>2880</v>
      </c>
      <c r="H38" s="16">
        <f t="shared" si="1"/>
        <v>20160</v>
      </c>
      <c r="I38" s="17">
        <f t="shared" si="2"/>
        <v>0.23076923076923078</v>
      </c>
      <c r="J38" s="5"/>
      <c r="K38" s="6"/>
      <c r="L38" s="2"/>
      <c r="M38" s="2"/>
    </row>
    <row r="39" spans="1:13" x14ac:dyDescent="0.3">
      <c r="A39" s="12">
        <v>45961</v>
      </c>
      <c r="B39" s="13" t="s">
        <v>14</v>
      </c>
      <c r="C39" s="13" t="s">
        <v>19</v>
      </c>
      <c r="D39" s="13">
        <v>4</v>
      </c>
      <c r="E39" s="14">
        <v>9600</v>
      </c>
      <c r="F39" s="15">
        <v>12480</v>
      </c>
      <c r="G39" s="16">
        <f t="shared" si="0"/>
        <v>2880</v>
      </c>
      <c r="H39" s="16">
        <f t="shared" si="1"/>
        <v>11520</v>
      </c>
      <c r="I39" s="17">
        <f t="shared" si="2"/>
        <v>0.23076923076923078</v>
      </c>
      <c r="J39" s="5"/>
      <c r="K39" s="6"/>
      <c r="L39" s="2"/>
      <c r="M39" s="2"/>
    </row>
    <row r="40" spans="1:13" x14ac:dyDescent="0.3">
      <c r="A40" s="12">
        <v>45972</v>
      </c>
      <c r="B40" s="13" t="s">
        <v>13</v>
      </c>
      <c r="C40" s="13" t="s">
        <v>15</v>
      </c>
      <c r="D40" s="13">
        <v>7</v>
      </c>
      <c r="E40" s="14">
        <v>47250</v>
      </c>
      <c r="F40" s="15">
        <v>55755.000000000007</v>
      </c>
      <c r="G40" s="16">
        <f t="shared" si="0"/>
        <v>8505.0000000000073</v>
      </c>
      <c r="H40" s="16">
        <f t="shared" si="1"/>
        <v>59535.000000000051</v>
      </c>
      <c r="I40" s="17">
        <f t="shared" si="2"/>
        <v>0.15254237288135605</v>
      </c>
      <c r="J40" s="5"/>
      <c r="K40" s="6"/>
      <c r="L40" s="2"/>
      <c r="M40" s="2"/>
    </row>
    <row r="41" spans="1:13" x14ac:dyDescent="0.3">
      <c r="A41" s="12">
        <v>45988</v>
      </c>
      <c r="B41" s="13" t="s">
        <v>16</v>
      </c>
      <c r="C41" s="13" t="s">
        <v>17</v>
      </c>
      <c r="D41" s="13">
        <v>7</v>
      </c>
      <c r="E41" s="14">
        <v>4900</v>
      </c>
      <c r="F41" s="15">
        <v>5390</v>
      </c>
      <c r="G41" s="16">
        <f t="shared" si="0"/>
        <v>490</v>
      </c>
      <c r="H41" s="16">
        <f t="shared" si="1"/>
        <v>3430</v>
      </c>
      <c r="I41" s="17">
        <f t="shared" si="2"/>
        <v>9.0909090909090912E-2</v>
      </c>
      <c r="J41" s="5"/>
      <c r="K41" s="6"/>
      <c r="L41" s="2"/>
      <c r="M4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C9DA-475D-49B5-A66C-632734FEF26F}">
  <dimension ref="A1:U25"/>
  <sheetViews>
    <sheetView zoomScale="90" zoomScaleNormal="90" workbookViewId="0">
      <selection activeCell="B18" sqref="B18"/>
    </sheetView>
  </sheetViews>
  <sheetFormatPr defaultRowHeight="14.4" x14ac:dyDescent="0.3"/>
  <cols>
    <col min="1" max="1" width="19.77734375" bestFit="1" customWidth="1"/>
    <col min="2" max="2" width="21.21875" bestFit="1" customWidth="1"/>
    <col min="3" max="5" width="9.88671875" bestFit="1" customWidth="1"/>
    <col min="6" max="18" width="11.44140625" bestFit="1" customWidth="1"/>
    <col min="19" max="19" width="12.21875" bestFit="1" customWidth="1"/>
    <col min="20" max="20" width="4.21875" bestFit="1" customWidth="1"/>
    <col min="21" max="21" width="10.77734375" bestFit="1" customWidth="1"/>
  </cols>
  <sheetData>
    <row r="1" spans="1:21" x14ac:dyDescent="0.3">
      <c r="A1" s="18" t="s">
        <v>23</v>
      </c>
      <c r="B1" s="19" t="s">
        <v>25</v>
      </c>
      <c r="G1" s="18" t="s">
        <v>23</v>
      </c>
      <c r="H1" s="19" t="s">
        <v>27</v>
      </c>
      <c r="L1" s="18" t="s">
        <v>25</v>
      </c>
      <c r="M1" s="18" t="s">
        <v>37</v>
      </c>
      <c r="N1" s="19"/>
      <c r="O1" s="19"/>
      <c r="P1" s="19"/>
      <c r="Q1" s="19"/>
      <c r="R1" s="19"/>
      <c r="S1" s="19"/>
      <c r="T1" s="19"/>
      <c r="U1" s="19"/>
    </row>
    <row r="2" spans="1:21" x14ac:dyDescent="0.3">
      <c r="A2" s="20" t="s">
        <v>10</v>
      </c>
      <c r="B2" s="21">
        <v>66</v>
      </c>
      <c r="G2" s="20" t="s">
        <v>35</v>
      </c>
      <c r="H2" s="21">
        <v>116770</v>
      </c>
      <c r="L2" s="18" t="s">
        <v>23</v>
      </c>
      <c r="M2" s="19" t="s">
        <v>10</v>
      </c>
      <c r="N2" s="19" t="s">
        <v>8</v>
      </c>
      <c r="O2" s="19" t="s">
        <v>13</v>
      </c>
      <c r="P2" s="19" t="s">
        <v>16</v>
      </c>
      <c r="Q2" s="19" t="s">
        <v>18</v>
      </c>
      <c r="R2" s="19" t="s">
        <v>6</v>
      </c>
      <c r="S2" s="19" t="s">
        <v>14</v>
      </c>
      <c r="T2" s="19" t="s">
        <v>11</v>
      </c>
      <c r="U2" s="19" t="s">
        <v>24</v>
      </c>
    </row>
    <row r="3" spans="1:21" x14ac:dyDescent="0.3">
      <c r="A3" s="20" t="s">
        <v>8</v>
      </c>
      <c r="B3" s="21">
        <v>48</v>
      </c>
      <c r="G3" s="20" t="s">
        <v>31</v>
      </c>
      <c r="H3" s="21">
        <v>114094.00000000001</v>
      </c>
      <c r="L3" s="20" t="s">
        <v>7</v>
      </c>
      <c r="M3" s="21">
        <v>26</v>
      </c>
      <c r="N3" s="21"/>
      <c r="O3" s="21">
        <v>14</v>
      </c>
      <c r="P3" s="21">
        <v>18</v>
      </c>
      <c r="Q3" s="21"/>
      <c r="R3" s="21">
        <v>50</v>
      </c>
      <c r="S3" s="21">
        <v>5</v>
      </c>
      <c r="T3" s="21">
        <v>12</v>
      </c>
      <c r="U3" s="21">
        <v>125</v>
      </c>
    </row>
    <row r="4" spans="1:21" x14ac:dyDescent="0.3">
      <c r="A4" s="20" t="s">
        <v>13</v>
      </c>
      <c r="B4" s="21">
        <v>90</v>
      </c>
      <c r="G4" s="20" t="s">
        <v>32</v>
      </c>
      <c r="H4" s="21">
        <v>276064</v>
      </c>
      <c r="L4" s="20" t="s">
        <v>9</v>
      </c>
      <c r="M4" s="21"/>
      <c r="N4" s="21">
        <v>9</v>
      </c>
      <c r="O4" s="21">
        <v>17</v>
      </c>
      <c r="P4" s="21">
        <v>27</v>
      </c>
      <c r="Q4" s="21">
        <v>15</v>
      </c>
      <c r="R4" s="21">
        <v>77</v>
      </c>
      <c r="S4" s="21">
        <v>7</v>
      </c>
      <c r="T4" s="21">
        <v>10</v>
      </c>
      <c r="U4" s="21">
        <v>162</v>
      </c>
    </row>
    <row r="5" spans="1:21" x14ac:dyDescent="0.3">
      <c r="A5" s="20" t="s">
        <v>16</v>
      </c>
      <c r="B5" s="21">
        <v>75</v>
      </c>
      <c r="G5" s="20" t="s">
        <v>28</v>
      </c>
      <c r="H5" s="21">
        <v>219053.99999999988</v>
      </c>
      <c r="L5" s="20" t="s">
        <v>19</v>
      </c>
      <c r="M5" s="21">
        <v>15</v>
      </c>
      <c r="N5" s="21">
        <v>11</v>
      </c>
      <c r="O5" s="21"/>
      <c r="P5" s="21"/>
      <c r="Q5" s="21"/>
      <c r="R5" s="21">
        <v>38</v>
      </c>
      <c r="S5" s="21">
        <v>18</v>
      </c>
      <c r="T5" s="21">
        <v>14</v>
      </c>
      <c r="U5" s="21">
        <v>96</v>
      </c>
    </row>
    <row r="6" spans="1:21" x14ac:dyDescent="0.3">
      <c r="A6" s="20" t="s">
        <v>18</v>
      </c>
      <c r="B6" s="21">
        <v>102</v>
      </c>
      <c r="G6" s="20" t="s">
        <v>33</v>
      </c>
      <c r="H6" s="21">
        <v>426840</v>
      </c>
      <c r="L6" s="20" t="s">
        <v>15</v>
      </c>
      <c r="M6" s="21"/>
      <c r="N6" s="21">
        <v>28</v>
      </c>
      <c r="O6" s="21">
        <v>21</v>
      </c>
      <c r="P6" s="21"/>
      <c r="Q6" s="21">
        <v>87</v>
      </c>
      <c r="R6" s="21"/>
      <c r="S6" s="21">
        <v>15</v>
      </c>
      <c r="T6" s="21"/>
      <c r="U6" s="21">
        <v>151</v>
      </c>
    </row>
    <row r="7" spans="1:21" x14ac:dyDescent="0.3">
      <c r="A7" s="20" t="s">
        <v>6</v>
      </c>
      <c r="B7" s="21">
        <v>181</v>
      </c>
      <c r="G7" s="20" t="s">
        <v>29</v>
      </c>
      <c r="H7" s="21">
        <v>139018</v>
      </c>
      <c r="L7" s="20" t="s">
        <v>17</v>
      </c>
      <c r="M7" s="21">
        <v>25</v>
      </c>
      <c r="N7" s="21"/>
      <c r="O7" s="21">
        <v>38</v>
      </c>
      <c r="P7" s="21">
        <v>30</v>
      </c>
      <c r="Q7" s="21"/>
      <c r="R7" s="21">
        <v>16</v>
      </c>
      <c r="S7" s="21"/>
      <c r="T7" s="21">
        <v>7</v>
      </c>
      <c r="U7" s="21">
        <v>116</v>
      </c>
    </row>
    <row r="8" spans="1:21" x14ac:dyDescent="0.3">
      <c r="A8" s="20" t="s">
        <v>14</v>
      </c>
      <c r="B8" s="21">
        <v>45</v>
      </c>
      <c r="G8" s="20" t="s">
        <v>30</v>
      </c>
      <c r="H8" s="21">
        <v>120400</v>
      </c>
      <c r="L8" s="20" t="s">
        <v>12</v>
      </c>
      <c r="M8" s="21"/>
      <c r="N8" s="21"/>
      <c r="O8" s="21"/>
      <c r="P8" s="21"/>
      <c r="Q8" s="21"/>
      <c r="R8" s="21"/>
      <c r="S8" s="21"/>
      <c r="T8" s="21">
        <v>18</v>
      </c>
      <c r="U8" s="21">
        <v>18</v>
      </c>
    </row>
    <row r="9" spans="1:21" x14ac:dyDescent="0.3">
      <c r="A9" s="20" t="s">
        <v>11</v>
      </c>
      <c r="B9" s="21">
        <v>61</v>
      </c>
      <c r="G9" s="20" t="s">
        <v>36</v>
      </c>
      <c r="H9" s="21">
        <v>46080</v>
      </c>
      <c r="L9" s="20" t="s">
        <v>24</v>
      </c>
      <c r="M9" s="21">
        <v>66</v>
      </c>
      <c r="N9" s="21">
        <v>48</v>
      </c>
      <c r="O9" s="21">
        <v>90</v>
      </c>
      <c r="P9" s="21">
        <v>75</v>
      </c>
      <c r="Q9" s="21">
        <v>102</v>
      </c>
      <c r="R9" s="21">
        <v>181</v>
      </c>
      <c r="S9" s="21">
        <v>45</v>
      </c>
      <c r="T9" s="21">
        <v>61</v>
      </c>
      <c r="U9" s="21">
        <v>668</v>
      </c>
    </row>
    <row r="10" spans="1:21" x14ac:dyDescent="0.3">
      <c r="A10" s="20" t="s">
        <v>24</v>
      </c>
      <c r="B10" s="21">
        <v>668</v>
      </c>
      <c r="G10" s="20" t="s">
        <v>34</v>
      </c>
      <c r="H10" s="21">
        <v>62965.000000000051</v>
      </c>
    </row>
    <row r="11" spans="1:21" x14ac:dyDescent="0.3">
      <c r="G11" s="20" t="s">
        <v>24</v>
      </c>
      <c r="H11" s="21">
        <v>1521285</v>
      </c>
    </row>
    <row r="14" spans="1:21" x14ac:dyDescent="0.3">
      <c r="A14" s="9" t="s">
        <v>39</v>
      </c>
      <c r="B14" t="s">
        <v>38</v>
      </c>
    </row>
    <row r="16" spans="1:21" x14ac:dyDescent="0.3">
      <c r="A16" s="9" t="s">
        <v>23</v>
      </c>
      <c r="B16" t="s">
        <v>26</v>
      </c>
    </row>
    <row r="17" spans="1:2" x14ac:dyDescent="0.3">
      <c r="A17" s="10" t="s">
        <v>10</v>
      </c>
      <c r="B17" s="11">
        <v>640</v>
      </c>
    </row>
    <row r="18" spans="1:2" x14ac:dyDescent="0.3">
      <c r="A18" s="10" t="s">
        <v>8</v>
      </c>
      <c r="B18" s="11">
        <v>14668</v>
      </c>
    </row>
    <row r="19" spans="1:2" x14ac:dyDescent="0.3">
      <c r="A19" s="10" t="s">
        <v>13</v>
      </c>
      <c r="B19" s="11">
        <v>45171</v>
      </c>
    </row>
    <row r="20" spans="1:2" x14ac:dyDescent="0.3">
      <c r="A20" s="10" t="s">
        <v>16</v>
      </c>
      <c r="B20" s="11">
        <v>1890</v>
      </c>
    </row>
    <row r="21" spans="1:2" x14ac:dyDescent="0.3">
      <c r="A21" s="10" t="s">
        <v>18</v>
      </c>
      <c r="B21" s="11">
        <v>11520</v>
      </c>
    </row>
    <row r="22" spans="1:2" x14ac:dyDescent="0.3">
      <c r="A22" s="10" t="s">
        <v>6</v>
      </c>
      <c r="B22" s="11">
        <v>4760</v>
      </c>
    </row>
    <row r="23" spans="1:2" x14ac:dyDescent="0.3">
      <c r="A23" s="10" t="s">
        <v>14</v>
      </c>
      <c r="B23" s="11">
        <v>13032</v>
      </c>
    </row>
    <row r="24" spans="1:2" x14ac:dyDescent="0.3">
      <c r="A24" s="10" t="s">
        <v>11</v>
      </c>
      <c r="B24" s="11">
        <v>10219</v>
      </c>
    </row>
    <row r="25" spans="1:2" x14ac:dyDescent="0.3">
      <c r="A25" s="10" t="s">
        <v>24</v>
      </c>
      <c r="B25" s="11">
        <v>101900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0EC5-BDA2-4986-B552-79E883E934D2}">
  <dimension ref="A1"/>
  <sheetViews>
    <sheetView tabSelected="1" zoomScale="82" zoomScaleNormal="82" workbookViewId="0">
      <selection activeCell="U8" sqref="U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MD_Computers_Profit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Pisal</cp:lastModifiedBy>
  <dcterms:modified xsi:type="dcterms:W3CDTF">2025-12-20T10:29:24Z</dcterms:modified>
</cp:coreProperties>
</file>